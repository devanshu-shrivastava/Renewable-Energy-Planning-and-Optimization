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97e19ce629b3a4/Desktop/"/>
    </mc:Choice>
  </mc:AlternateContent>
  <xr:revisionPtr revIDLastSave="8516" documentId="11_F25DC773A252ABDACC10485041D854D25BDE58F7" xr6:coauthVersionLast="47" xr6:coauthVersionMax="47" xr10:uidLastSave="{D07898B9-5397-43AB-A99F-4234EF1F7518}"/>
  <bookViews>
    <workbookView xWindow="-108" yWindow="-108" windowWidth="23256" windowHeight="13896" tabRatio="931" activeTab="1" xr2:uid="{00000000-000D-0000-FFFF-FFFF00000000}"/>
  </bookViews>
  <sheets>
    <sheet name="Data" sheetId="1" r:id="rId1"/>
    <sheet name="LPP Modelling" sheetId="2" r:id="rId2"/>
    <sheet name="Sensitivity Report 1" sheetId="13" r:id="rId3"/>
    <sheet name="-1st constraint" sheetId="7" r:id="rId4"/>
    <sheet name="-2nd constraint" sheetId="4" r:id="rId5"/>
    <sheet name="-3rd constraint" sheetId="11" r:id="rId6"/>
    <sheet name="-4th constraint" sheetId="12" r:id="rId7"/>
    <sheet name="-5th to 7th constraint" sheetId="10" r:id="rId8"/>
    <sheet name="-8th to 9th constraint" sheetId="6" r:id="rId9"/>
  </sheets>
  <definedNames>
    <definedName name="solver_adj" localSheetId="3" hidden="1">'-1st constraint'!$C$5:$G$14</definedName>
    <definedName name="solver_adj" localSheetId="4" hidden="1">'-2nd constraint'!$C$5:$G$14</definedName>
    <definedName name="solver_adj" localSheetId="5" hidden="1">'-3rd constraint'!$C$5:$G$14</definedName>
    <definedName name="solver_adj" localSheetId="6" hidden="1">'-4th constraint'!$C$5:$G$14</definedName>
    <definedName name="solver_adj" localSheetId="7" hidden="1">'-5th to 7th constraint'!$C$5:$G$14</definedName>
    <definedName name="solver_adj" localSheetId="8" hidden="1">'-8th to 9th constraint'!$C$5:$G$14</definedName>
    <definedName name="solver_adj" localSheetId="1" hidden="1">'LPP Modelling'!$C$5:$G$14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1" hidden="1">1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1" hidden="1">2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1" hidden="1">2147483647</definedName>
    <definedName name="solver_lhs1" localSheetId="3" hidden="1">'-1st constraint'!$H$32:$H$41</definedName>
    <definedName name="solver_lhs1" localSheetId="4" hidden="1">'-2nd constraint'!$H$21:$H$30</definedName>
    <definedName name="solver_lhs1" localSheetId="5" hidden="1">'-3rd constraint'!$H$21:$H$30</definedName>
    <definedName name="solver_lhs1" localSheetId="6" hidden="1">'-4th constraint'!$H$21:$H$30</definedName>
    <definedName name="solver_lhs1" localSheetId="7" hidden="1">'-5th to 7th constraint'!$H$21:$H$30</definedName>
    <definedName name="solver_lhs1" localSheetId="8" hidden="1">'-8th to 9th constraint'!$H$21:$H$30</definedName>
    <definedName name="solver_lhs1" localSheetId="1" hidden="1">'LPP Modelling'!$H$110:$H$119</definedName>
    <definedName name="solver_lhs10" localSheetId="1" hidden="1">'LPP Modelling'!$H$77:$H$86</definedName>
    <definedName name="solver_lhs11" localSheetId="1" hidden="1">'LPP Modelling'!$H$88:$H$97</definedName>
    <definedName name="solver_lhs12" localSheetId="1" hidden="1">'LPP Modelling'!$H$99:$H$108</definedName>
    <definedName name="solver_lhs2" localSheetId="3" hidden="1">'-1st constraint'!$H$43:$H$52</definedName>
    <definedName name="solver_lhs2" localSheetId="4" hidden="1">'-2nd constraint'!$H$43:$H$52</definedName>
    <definedName name="solver_lhs2" localSheetId="5" hidden="1">'-3rd constraint'!$H$32:$H$41</definedName>
    <definedName name="solver_lhs2" localSheetId="6" hidden="1">'-4th constraint'!$H$32:$H$41</definedName>
    <definedName name="solver_lhs2" localSheetId="7" hidden="1">'-5th to 7th constraint'!$H$32:$H$41</definedName>
    <definedName name="solver_lhs2" localSheetId="8" hidden="1">'-8th to 9th constraint'!$H$32:$H$41</definedName>
    <definedName name="solver_lhs2" localSheetId="1" hidden="1">'LPP Modelling'!$H$21:$H$30</definedName>
    <definedName name="solver_lhs3" localSheetId="3" hidden="1">'-1st constraint'!$H$54:$H$63</definedName>
    <definedName name="solver_lhs3" localSheetId="4" hidden="1">'-2nd constraint'!$H$54:$H$63</definedName>
    <definedName name="solver_lhs3" localSheetId="5" hidden="1">'-3rd constraint'!$H$54:$H$63</definedName>
    <definedName name="solver_lhs3" localSheetId="6" hidden="1">'-4th constraint'!$H$43:$H$52</definedName>
    <definedName name="solver_lhs3" localSheetId="7" hidden="1">'-5th to 7th constraint'!$H$43:$H$52</definedName>
    <definedName name="solver_lhs3" localSheetId="8" hidden="1">'-8th to 9th constraint'!$H$43:$H$52</definedName>
    <definedName name="solver_lhs3" localSheetId="1" hidden="1">'LPP Modelling'!$H$32:$H$41</definedName>
    <definedName name="solver_lhs4" localSheetId="3" hidden="1">'-1st constraint'!$H$66:$H$75</definedName>
    <definedName name="solver_lhs4" localSheetId="4" hidden="1">'-2nd constraint'!$H$66:$H$75</definedName>
    <definedName name="solver_lhs4" localSheetId="5" hidden="1">'-3rd constraint'!$H$66:$H$75</definedName>
    <definedName name="solver_lhs4" localSheetId="6" hidden="1">'-4th constraint'!$H$66:$H$75</definedName>
    <definedName name="solver_lhs4" localSheetId="7" hidden="1">'-5th to 7th constraint'!$H$54:$H$63</definedName>
    <definedName name="solver_lhs4" localSheetId="8" hidden="1">'-8th to 9th constraint'!$H$54:$H$63</definedName>
    <definedName name="solver_lhs4" localSheetId="1" hidden="1">'LPP Modelling'!$H$43:$H$52</definedName>
    <definedName name="solver_lhs5" localSheetId="3" hidden="1">'-1st constraint'!$H$77:$H$86</definedName>
    <definedName name="solver_lhs5" localSheetId="4" hidden="1">'-2nd constraint'!$H$77:$H$86</definedName>
    <definedName name="solver_lhs5" localSheetId="5" hidden="1">'-3rd constraint'!$H$77:$H$86</definedName>
    <definedName name="solver_lhs5" localSheetId="6" hidden="1">'-4th constraint'!$H$77:$H$86</definedName>
    <definedName name="solver_lhs5" localSheetId="7" hidden="1">'-5th to 7th constraint'!$H$88:$H$97</definedName>
    <definedName name="solver_lhs5" localSheetId="8" hidden="1">'-8th to 9th constraint'!$H$66:$H$75</definedName>
    <definedName name="solver_lhs5" localSheetId="1" hidden="1">'LPP Modelling'!$H$54:$H$63</definedName>
    <definedName name="solver_lhs6" localSheetId="3" hidden="1">'-1st constraint'!$H$88:$H$97</definedName>
    <definedName name="solver_lhs6" localSheetId="4" hidden="1">'-2nd constraint'!$H$88:$H$97</definedName>
    <definedName name="solver_lhs6" localSheetId="5" hidden="1">'-3rd constraint'!$H$88:$H$97</definedName>
    <definedName name="solver_lhs6" localSheetId="6" hidden="1">'-4th constraint'!$H$88:$H$97</definedName>
    <definedName name="solver_lhs6" localSheetId="7" hidden="1">'-5th to 7th constraint'!$H$88:$H$97</definedName>
    <definedName name="solver_lhs6" localSheetId="8" hidden="1">'-8th to 9th constraint'!$H$77:$H$86</definedName>
    <definedName name="solver_lhs6" localSheetId="1" hidden="1">'LPP Modelling'!$H$66:$H$75</definedName>
    <definedName name="solver_lhs7" localSheetId="3" hidden="1">'-1st constraint'!$H$88:$H$97</definedName>
    <definedName name="solver_lhs7" localSheetId="4" hidden="1">'-2nd constraint'!$H$88:$H$97</definedName>
    <definedName name="solver_lhs7" localSheetId="5" hidden="1">'-3rd constraint'!$H$88:$H$97</definedName>
    <definedName name="solver_lhs7" localSheetId="6" hidden="1">'-4th constraint'!$H$88:$H$97</definedName>
    <definedName name="solver_lhs7" localSheetId="7" hidden="1">'-5th to 7th constraint'!$H$88:$H$97</definedName>
    <definedName name="solver_lhs7" localSheetId="8" hidden="1">'-8th to 9th constraint'!$H$88:$H$97</definedName>
    <definedName name="solver_lhs7" localSheetId="1" hidden="1">'LPP Modelling'!$H$77:$H$86</definedName>
    <definedName name="solver_lhs8" localSheetId="1" hidden="1">'LPP Modelling'!$H$88:$H$97</definedName>
    <definedName name="solver_lhs9" localSheetId="1" hidden="1">'LPP Modelling'!$H$99:$H$108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1" hidden="1">2147483647</definedName>
    <definedName name="solver_num" localSheetId="3" hidden="1">6</definedName>
    <definedName name="solver_num" localSheetId="4" hidden="1">6</definedName>
    <definedName name="solver_num" localSheetId="5" hidden="1">6</definedName>
    <definedName name="solver_num" localSheetId="6" hidden="1">6</definedName>
    <definedName name="solver_num" localSheetId="7" hidden="1">4</definedName>
    <definedName name="solver_num" localSheetId="8" hidden="1">7</definedName>
    <definedName name="solver_num" localSheetId="1" hidden="1">9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1" hidden="1">1</definedName>
    <definedName name="solver_opt" localSheetId="3" hidden="1">'-1st constraint'!$H$17</definedName>
    <definedName name="solver_opt" localSheetId="4" hidden="1">'-2nd constraint'!$H$17</definedName>
    <definedName name="solver_opt" localSheetId="5" hidden="1">'-3rd constraint'!$H$17</definedName>
    <definedName name="solver_opt" localSheetId="6" hidden="1">'-4th constraint'!$H$17</definedName>
    <definedName name="solver_opt" localSheetId="7" hidden="1">'-5th to 7th constraint'!$H$17</definedName>
    <definedName name="solver_opt" localSheetId="8" hidden="1">'-8th to 9th constraint'!$H$17</definedName>
    <definedName name="solver_opt" localSheetId="1" hidden="1">'LPP Modelling'!$H$17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1" hidden="1">1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1" hidden="1">1</definedName>
    <definedName name="solver_rel10" localSheetId="1" hidden="1">3</definedName>
    <definedName name="solver_rel11" localSheetId="1" hidden="1">3</definedName>
    <definedName name="solver_rel12" localSheetId="1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1" hidden="1">3</definedName>
    <definedName name="solver_rel3" localSheetId="3" hidden="1">3</definedName>
    <definedName name="solver_rel3" localSheetId="4" hidden="1">3</definedName>
    <definedName name="solver_rel3" localSheetId="5" hidden="1">3</definedName>
    <definedName name="solver_rel3" localSheetId="6" hidden="1">3</definedName>
    <definedName name="solver_rel3" localSheetId="7" hidden="1">3</definedName>
    <definedName name="solver_rel3" localSheetId="8" hidden="1">3</definedName>
    <definedName name="solver_rel3" localSheetId="1" hidden="1">1</definedName>
    <definedName name="solver_rel4" localSheetId="3" hidden="1">3</definedName>
    <definedName name="solver_rel4" localSheetId="4" hidden="1">3</definedName>
    <definedName name="solver_rel4" localSheetId="5" hidden="1">3</definedName>
    <definedName name="solver_rel4" localSheetId="6" hidden="1">3</definedName>
    <definedName name="solver_rel4" localSheetId="7" hidden="1">3</definedName>
    <definedName name="solver_rel4" localSheetId="8" hidden="1">3</definedName>
    <definedName name="solver_rel4" localSheetId="1" hidden="1">3</definedName>
    <definedName name="solver_rel5" localSheetId="3" hidden="1">3</definedName>
    <definedName name="solver_rel5" localSheetId="4" hidden="1">3</definedName>
    <definedName name="solver_rel5" localSheetId="5" hidden="1">3</definedName>
    <definedName name="solver_rel5" localSheetId="6" hidden="1">3</definedName>
    <definedName name="solver_rel5" localSheetId="7" hidden="1">3</definedName>
    <definedName name="solver_rel5" localSheetId="8" hidden="1">3</definedName>
    <definedName name="solver_rel5" localSheetId="1" hidden="1">1</definedName>
    <definedName name="solver_rel6" localSheetId="3" hidden="1">3</definedName>
    <definedName name="solver_rel6" localSheetId="4" hidden="1">3</definedName>
    <definedName name="solver_rel6" localSheetId="5" hidden="1">3</definedName>
    <definedName name="solver_rel6" localSheetId="6" hidden="1">3</definedName>
    <definedName name="solver_rel6" localSheetId="7" hidden="1">3</definedName>
    <definedName name="solver_rel6" localSheetId="8" hidden="1">3</definedName>
    <definedName name="solver_rel6" localSheetId="1" hidden="1">3</definedName>
    <definedName name="solver_rel7" localSheetId="3" hidden="1">3</definedName>
    <definedName name="solver_rel7" localSheetId="4" hidden="1">3</definedName>
    <definedName name="solver_rel7" localSheetId="5" hidden="1">3</definedName>
    <definedName name="solver_rel7" localSheetId="6" hidden="1">3</definedName>
    <definedName name="solver_rel7" localSheetId="7" hidden="1">3</definedName>
    <definedName name="solver_rel7" localSheetId="8" hidden="1">3</definedName>
    <definedName name="solver_rel7" localSheetId="1" hidden="1">3</definedName>
    <definedName name="solver_rel8" localSheetId="1" hidden="1">3</definedName>
    <definedName name="solver_rel9" localSheetId="1" hidden="1">1</definedName>
    <definedName name="solver_rhs1" localSheetId="3" hidden="1">'-1st constraint'!$J$32:$J$41</definedName>
    <definedName name="solver_rhs1" localSheetId="4" hidden="1">'-2nd constraint'!$J$21:$J$30</definedName>
    <definedName name="solver_rhs1" localSheetId="5" hidden="1">'-3rd constraint'!$J$21:$J$30</definedName>
    <definedName name="solver_rhs1" localSheetId="6" hidden="1">'-4th constraint'!$J$21:$J$30</definedName>
    <definedName name="solver_rhs1" localSheetId="7" hidden="1">'-5th to 7th constraint'!$J$21:$J$30</definedName>
    <definedName name="solver_rhs1" localSheetId="8" hidden="1">'-8th to 9th constraint'!$J$21:$J$30</definedName>
    <definedName name="solver_rhs1" localSheetId="1" hidden="1">'LPP Modelling'!$J$110:$J$119</definedName>
    <definedName name="solver_rhs10" localSheetId="1" hidden="1">'LPP Modelling'!$J$77:$J$86</definedName>
    <definedName name="solver_rhs11" localSheetId="1" hidden="1">'LPP Modelling'!$J$88:$J$97</definedName>
    <definedName name="solver_rhs12" localSheetId="1" hidden="1">'LPP Modelling'!$J$99:$J$108</definedName>
    <definedName name="solver_rhs2" localSheetId="3" hidden="1">'-1st constraint'!$J$43:$J$52</definedName>
    <definedName name="solver_rhs2" localSheetId="4" hidden="1">'-2nd constraint'!$J$43:$J$52</definedName>
    <definedName name="solver_rhs2" localSheetId="5" hidden="1">'-3rd constraint'!$J$32:$J$41</definedName>
    <definedName name="solver_rhs2" localSheetId="6" hidden="1">'-4th constraint'!$J$32:$J$41</definedName>
    <definedName name="solver_rhs2" localSheetId="7" hidden="1">'-5th to 7th constraint'!$J$32:$J$41</definedName>
    <definedName name="solver_rhs2" localSheetId="8" hidden="1">'-8th to 9th constraint'!$J$32:$J$41</definedName>
    <definedName name="solver_rhs2" localSheetId="1" hidden="1">'LPP Modelling'!$J$21:$J$30</definedName>
    <definedName name="solver_rhs3" localSheetId="3" hidden="1">'-1st constraint'!$J$54:$J$63</definedName>
    <definedName name="solver_rhs3" localSheetId="4" hidden="1">'-2nd constraint'!$J$54:$J$63</definedName>
    <definedName name="solver_rhs3" localSheetId="5" hidden="1">'-3rd constraint'!$J$54:$J$63</definedName>
    <definedName name="solver_rhs3" localSheetId="6" hidden="1">'-4th constraint'!$J$43:$J$52</definedName>
    <definedName name="solver_rhs3" localSheetId="7" hidden="1">'-5th to 7th constraint'!$J$43:$J$52</definedName>
    <definedName name="solver_rhs3" localSheetId="8" hidden="1">'-8th to 9th constraint'!$J$43:$J$52</definedName>
    <definedName name="solver_rhs3" localSheetId="1" hidden="1">'LPP Modelling'!$J$32:$J$41</definedName>
    <definedName name="solver_rhs4" localSheetId="3" hidden="1">'-1st constraint'!$J$66:$J$75</definedName>
    <definedName name="solver_rhs4" localSheetId="4" hidden="1">'-2nd constraint'!$J$66:$J$75</definedName>
    <definedName name="solver_rhs4" localSheetId="5" hidden="1">'-3rd constraint'!$J$66:$J$75</definedName>
    <definedName name="solver_rhs4" localSheetId="6" hidden="1">'-4th constraint'!$J$66:$J$75</definedName>
    <definedName name="solver_rhs4" localSheetId="7" hidden="1">'-5th to 7th constraint'!$J$54:$J$63</definedName>
    <definedName name="solver_rhs4" localSheetId="8" hidden="1">'-8th to 9th constraint'!$J$54:$J$63</definedName>
    <definedName name="solver_rhs4" localSheetId="1" hidden="1">'LPP Modelling'!$J$43:$J$52</definedName>
    <definedName name="solver_rhs5" localSheetId="3" hidden="1">'-1st constraint'!$J$77:$J$86</definedName>
    <definedName name="solver_rhs5" localSheetId="4" hidden="1">'-2nd constraint'!$J$77:$J$86</definedName>
    <definedName name="solver_rhs5" localSheetId="5" hidden="1">'-3rd constraint'!$J$77:$J$86</definedName>
    <definedName name="solver_rhs5" localSheetId="6" hidden="1">'-4th constraint'!$J$77:$J$86</definedName>
    <definedName name="solver_rhs5" localSheetId="7" hidden="1">'-5th to 7th constraint'!$J$88:$J$97</definedName>
    <definedName name="solver_rhs5" localSheetId="8" hidden="1">'-8th to 9th constraint'!$J$66:$J$75</definedName>
    <definedName name="solver_rhs5" localSheetId="1" hidden="1">'LPP Modelling'!$J$54:$J$63</definedName>
    <definedName name="solver_rhs6" localSheetId="3" hidden="1">'-1st constraint'!$J$88:$J$97</definedName>
    <definedName name="solver_rhs6" localSheetId="4" hidden="1">'-2nd constraint'!$J$88:$J$97</definedName>
    <definedName name="solver_rhs6" localSheetId="5" hidden="1">'-3rd constraint'!$J$88:$J$97</definedName>
    <definedName name="solver_rhs6" localSheetId="6" hidden="1">'-4th constraint'!$J$88:$J$97</definedName>
    <definedName name="solver_rhs6" localSheetId="7" hidden="1">'-5th to 7th constraint'!$J$88:$J$97</definedName>
    <definedName name="solver_rhs6" localSheetId="8" hidden="1">'-8th to 9th constraint'!$J$77:$J$86</definedName>
    <definedName name="solver_rhs6" localSheetId="1" hidden="1">'LPP Modelling'!$J$66:$J$75</definedName>
    <definedName name="solver_rhs7" localSheetId="3" hidden="1">'-1st constraint'!$J$88:$J$97</definedName>
    <definedName name="solver_rhs7" localSheetId="4" hidden="1">'-2nd constraint'!$J$88:$J$97</definedName>
    <definedName name="solver_rhs7" localSheetId="5" hidden="1">'-3rd constraint'!$J$88:$J$97</definedName>
    <definedName name="solver_rhs7" localSheetId="6" hidden="1">'-4th constraint'!$J$88:$J$97</definedName>
    <definedName name="solver_rhs7" localSheetId="7" hidden="1">'-5th to 7th constraint'!$J$88:$J$97</definedName>
    <definedName name="solver_rhs7" localSheetId="8" hidden="1">'-8th to 9th constraint'!$J$88:$J$97</definedName>
    <definedName name="solver_rhs7" localSheetId="1" hidden="1">'LPP Modelling'!$J$77:$J$86</definedName>
    <definedName name="solver_rhs8" localSheetId="1" hidden="1">'LPP Modelling'!$J$88:$J$97</definedName>
    <definedName name="solver_rhs9" localSheetId="1" hidden="1">'LPP Modelling'!$J$99:$J$108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1" hidden="1">0.01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2" l="1"/>
  <c r="H112" i="2"/>
  <c r="H113" i="2"/>
  <c r="H114" i="2"/>
  <c r="H115" i="2"/>
  <c r="H116" i="2"/>
  <c r="H117" i="2"/>
  <c r="H118" i="2"/>
  <c r="H119" i="2"/>
  <c r="H110" i="2"/>
  <c r="H100" i="2"/>
  <c r="H101" i="2"/>
  <c r="H102" i="2"/>
  <c r="H103" i="2"/>
  <c r="H104" i="2"/>
  <c r="H105" i="2"/>
  <c r="H106" i="2"/>
  <c r="H107" i="2"/>
  <c r="H108" i="2"/>
  <c r="H99" i="2"/>
  <c r="H55" i="2"/>
  <c r="H56" i="2"/>
  <c r="H57" i="2"/>
  <c r="H58" i="2"/>
  <c r="H59" i="2"/>
  <c r="H60" i="2"/>
  <c r="H61" i="2"/>
  <c r="H62" i="2"/>
  <c r="H63" i="2"/>
  <c r="H54" i="2"/>
  <c r="E97" i="12"/>
  <c r="H97" i="12" s="1"/>
  <c r="E96" i="12"/>
  <c r="H96" i="12" s="1"/>
  <c r="E95" i="12"/>
  <c r="H95" i="12" s="1"/>
  <c r="E94" i="12"/>
  <c r="H94" i="12" s="1"/>
  <c r="E93" i="12"/>
  <c r="H93" i="12" s="1"/>
  <c r="E92" i="12"/>
  <c r="H92" i="12" s="1"/>
  <c r="E91" i="12"/>
  <c r="H91" i="12" s="1"/>
  <c r="E90" i="12"/>
  <c r="H90" i="12" s="1"/>
  <c r="E89" i="12"/>
  <c r="H89" i="12" s="1"/>
  <c r="E88" i="12"/>
  <c r="H88" i="12" s="1"/>
  <c r="D86" i="12"/>
  <c r="H86" i="12" s="1"/>
  <c r="D85" i="12"/>
  <c r="H85" i="12" s="1"/>
  <c r="D84" i="12"/>
  <c r="H84" i="12" s="1"/>
  <c r="D83" i="12"/>
  <c r="H83" i="12" s="1"/>
  <c r="D82" i="12"/>
  <c r="H82" i="12" s="1"/>
  <c r="D81" i="12"/>
  <c r="H81" i="12" s="1"/>
  <c r="D80" i="12"/>
  <c r="H80" i="12" s="1"/>
  <c r="D79" i="12"/>
  <c r="H79" i="12" s="1"/>
  <c r="D78" i="12"/>
  <c r="H78" i="12" s="1"/>
  <c r="D77" i="12"/>
  <c r="H77" i="12" s="1"/>
  <c r="C75" i="12"/>
  <c r="H75" i="12" s="1"/>
  <c r="C74" i="12"/>
  <c r="H74" i="12" s="1"/>
  <c r="C73" i="12"/>
  <c r="H73" i="12" s="1"/>
  <c r="C72" i="12"/>
  <c r="H72" i="12" s="1"/>
  <c r="C71" i="12"/>
  <c r="H71" i="12" s="1"/>
  <c r="C70" i="12"/>
  <c r="H70" i="12" s="1"/>
  <c r="C69" i="12"/>
  <c r="H69" i="12" s="1"/>
  <c r="C68" i="12"/>
  <c r="H68" i="12" s="1"/>
  <c r="C67" i="12"/>
  <c r="H67" i="12" s="1"/>
  <c r="C66" i="12"/>
  <c r="H66" i="12" s="1"/>
  <c r="J63" i="12"/>
  <c r="G63" i="12"/>
  <c r="F63" i="12"/>
  <c r="E63" i="12"/>
  <c r="J62" i="12"/>
  <c r="G62" i="12"/>
  <c r="F62" i="12"/>
  <c r="E62" i="12"/>
  <c r="J61" i="12"/>
  <c r="G61" i="12"/>
  <c r="F61" i="12"/>
  <c r="E61" i="12"/>
  <c r="J60" i="12"/>
  <c r="G60" i="12"/>
  <c r="F60" i="12"/>
  <c r="E60" i="12"/>
  <c r="J59" i="12"/>
  <c r="G59" i="12"/>
  <c r="F59" i="12"/>
  <c r="E59" i="12"/>
  <c r="J58" i="12"/>
  <c r="G58" i="12"/>
  <c r="F58" i="12"/>
  <c r="E58" i="12"/>
  <c r="J57" i="12"/>
  <c r="G57" i="12"/>
  <c r="F57" i="12"/>
  <c r="E57" i="12"/>
  <c r="J56" i="12"/>
  <c r="G56" i="12"/>
  <c r="F56" i="12"/>
  <c r="E56" i="12"/>
  <c r="J55" i="12"/>
  <c r="G55" i="12"/>
  <c r="F55" i="12"/>
  <c r="E55" i="12"/>
  <c r="J54" i="12"/>
  <c r="G54" i="12"/>
  <c r="F54" i="12"/>
  <c r="E54" i="12"/>
  <c r="F52" i="12"/>
  <c r="H52" i="12" s="1"/>
  <c r="F51" i="12"/>
  <c r="H51" i="12" s="1"/>
  <c r="F50" i="12"/>
  <c r="H50" i="12" s="1"/>
  <c r="F49" i="12"/>
  <c r="H49" i="12" s="1"/>
  <c r="F48" i="12"/>
  <c r="H48" i="12" s="1"/>
  <c r="F47" i="12"/>
  <c r="H47" i="12" s="1"/>
  <c r="F46" i="12"/>
  <c r="H46" i="12" s="1"/>
  <c r="F45" i="12"/>
  <c r="H45" i="12" s="1"/>
  <c r="F44" i="12"/>
  <c r="H44" i="12" s="1"/>
  <c r="F43" i="12"/>
  <c r="H43" i="12" s="1"/>
  <c r="G41" i="12"/>
  <c r="F41" i="12"/>
  <c r="J41" i="12" s="1"/>
  <c r="E41" i="12"/>
  <c r="D41" i="12"/>
  <c r="C41" i="12"/>
  <c r="G40" i="12"/>
  <c r="F40" i="12"/>
  <c r="J40" i="12" s="1"/>
  <c r="E40" i="12"/>
  <c r="D40" i="12"/>
  <c r="C40" i="12"/>
  <c r="G39" i="12"/>
  <c r="F39" i="12"/>
  <c r="J39" i="12" s="1"/>
  <c r="E39" i="12"/>
  <c r="D39" i="12"/>
  <c r="C39" i="12"/>
  <c r="G38" i="12"/>
  <c r="F38" i="12"/>
  <c r="J38" i="12" s="1"/>
  <c r="E38" i="12"/>
  <c r="D38" i="12"/>
  <c r="C38" i="12"/>
  <c r="G37" i="12"/>
  <c r="F37" i="12"/>
  <c r="J37" i="12" s="1"/>
  <c r="E37" i="12"/>
  <c r="D37" i="12"/>
  <c r="C37" i="12"/>
  <c r="G36" i="12"/>
  <c r="F36" i="12"/>
  <c r="J36" i="12" s="1"/>
  <c r="E36" i="12"/>
  <c r="D36" i="12"/>
  <c r="C36" i="12"/>
  <c r="G35" i="12"/>
  <c r="F35" i="12"/>
  <c r="J35" i="12" s="1"/>
  <c r="E35" i="12"/>
  <c r="D35" i="12"/>
  <c r="C35" i="12"/>
  <c r="G34" i="12"/>
  <c r="F34" i="12"/>
  <c r="J34" i="12" s="1"/>
  <c r="E34" i="12"/>
  <c r="D34" i="12"/>
  <c r="C34" i="12"/>
  <c r="G33" i="12"/>
  <c r="F33" i="12"/>
  <c r="J33" i="12" s="1"/>
  <c r="E33" i="12"/>
  <c r="D33" i="12"/>
  <c r="C33" i="12"/>
  <c r="G32" i="12"/>
  <c r="F32" i="12"/>
  <c r="J32" i="12" s="1"/>
  <c r="E32" i="12"/>
  <c r="D32" i="12"/>
  <c r="C32" i="12"/>
  <c r="H30" i="12"/>
  <c r="H29" i="12"/>
  <c r="H28" i="12"/>
  <c r="H27" i="12"/>
  <c r="H26" i="12"/>
  <c r="H25" i="12"/>
  <c r="H24" i="12"/>
  <c r="H23" i="12"/>
  <c r="H22" i="12"/>
  <c r="H21" i="12"/>
  <c r="G17" i="12"/>
  <c r="F17" i="12"/>
  <c r="E17" i="12"/>
  <c r="D17" i="12"/>
  <c r="C17" i="12"/>
  <c r="E97" i="11"/>
  <c r="H97" i="11" s="1"/>
  <c r="E96" i="11"/>
  <c r="H96" i="11" s="1"/>
  <c r="E95" i="11"/>
  <c r="H95" i="11" s="1"/>
  <c r="E94" i="11"/>
  <c r="H94" i="11" s="1"/>
  <c r="E93" i="11"/>
  <c r="H93" i="11" s="1"/>
  <c r="E92" i="11"/>
  <c r="H92" i="11" s="1"/>
  <c r="E91" i="11"/>
  <c r="H91" i="11" s="1"/>
  <c r="E90" i="11"/>
  <c r="H90" i="11" s="1"/>
  <c r="E89" i="11"/>
  <c r="H89" i="11" s="1"/>
  <c r="E88" i="11"/>
  <c r="H88" i="11" s="1"/>
  <c r="D86" i="11"/>
  <c r="H86" i="11" s="1"/>
  <c r="D85" i="11"/>
  <c r="H85" i="11" s="1"/>
  <c r="D84" i="11"/>
  <c r="H84" i="11" s="1"/>
  <c r="D83" i="11"/>
  <c r="H83" i="11" s="1"/>
  <c r="D82" i="11"/>
  <c r="H82" i="11" s="1"/>
  <c r="D81" i="11"/>
  <c r="H81" i="11" s="1"/>
  <c r="D80" i="11"/>
  <c r="H80" i="11" s="1"/>
  <c r="D79" i="11"/>
  <c r="H79" i="11" s="1"/>
  <c r="D78" i="11"/>
  <c r="H78" i="11" s="1"/>
  <c r="D77" i="11"/>
  <c r="H77" i="11" s="1"/>
  <c r="C75" i="11"/>
  <c r="H75" i="11" s="1"/>
  <c r="C74" i="11"/>
  <c r="H74" i="11" s="1"/>
  <c r="C73" i="11"/>
  <c r="H73" i="11" s="1"/>
  <c r="C72" i="11"/>
  <c r="H72" i="11" s="1"/>
  <c r="C71" i="11"/>
  <c r="H71" i="11" s="1"/>
  <c r="C70" i="11"/>
  <c r="H70" i="11" s="1"/>
  <c r="C69" i="11"/>
  <c r="H69" i="11" s="1"/>
  <c r="C68" i="11"/>
  <c r="H68" i="11" s="1"/>
  <c r="C67" i="11"/>
  <c r="H67" i="11" s="1"/>
  <c r="C66" i="11"/>
  <c r="H66" i="11" s="1"/>
  <c r="J63" i="11"/>
  <c r="G63" i="11"/>
  <c r="F63" i="11"/>
  <c r="E63" i="11"/>
  <c r="J62" i="11"/>
  <c r="G62" i="11"/>
  <c r="F62" i="11"/>
  <c r="E62" i="11"/>
  <c r="J61" i="11"/>
  <c r="G61" i="11"/>
  <c r="F61" i="11"/>
  <c r="E61" i="11"/>
  <c r="J60" i="11"/>
  <c r="G60" i="11"/>
  <c r="F60" i="11"/>
  <c r="E60" i="11"/>
  <c r="J59" i="11"/>
  <c r="G59" i="11"/>
  <c r="F59" i="11"/>
  <c r="E59" i="11"/>
  <c r="J58" i="11"/>
  <c r="G58" i="11"/>
  <c r="F58" i="11"/>
  <c r="E58" i="11"/>
  <c r="J57" i="11"/>
  <c r="G57" i="11"/>
  <c r="F57" i="11"/>
  <c r="E57" i="11"/>
  <c r="J56" i="11"/>
  <c r="G56" i="11"/>
  <c r="F56" i="11"/>
  <c r="E56" i="11"/>
  <c r="J55" i="11"/>
  <c r="G55" i="11"/>
  <c r="F55" i="11"/>
  <c r="E55" i="11"/>
  <c r="J54" i="11"/>
  <c r="G54" i="11"/>
  <c r="F54" i="11"/>
  <c r="E54" i="11"/>
  <c r="F52" i="11"/>
  <c r="H52" i="11" s="1"/>
  <c r="F51" i="11"/>
  <c r="H51" i="11" s="1"/>
  <c r="F50" i="11"/>
  <c r="H50" i="11" s="1"/>
  <c r="F49" i="11"/>
  <c r="H49" i="11" s="1"/>
  <c r="F48" i="11"/>
  <c r="H48" i="11" s="1"/>
  <c r="F47" i="11"/>
  <c r="H47" i="11" s="1"/>
  <c r="F46" i="11"/>
  <c r="H46" i="11" s="1"/>
  <c r="F45" i="11"/>
  <c r="H45" i="11" s="1"/>
  <c r="F44" i="11"/>
  <c r="H44" i="11" s="1"/>
  <c r="F43" i="11"/>
  <c r="H43" i="11" s="1"/>
  <c r="G41" i="11"/>
  <c r="F41" i="11"/>
  <c r="J41" i="11" s="1"/>
  <c r="E41" i="11"/>
  <c r="D41" i="11"/>
  <c r="C41" i="11"/>
  <c r="G40" i="11"/>
  <c r="F40" i="11"/>
  <c r="J40" i="11" s="1"/>
  <c r="E40" i="11"/>
  <c r="D40" i="11"/>
  <c r="C40" i="11"/>
  <c r="G39" i="11"/>
  <c r="F39" i="11"/>
  <c r="J39" i="11" s="1"/>
  <c r="E39" i="11"/>
  <c r="D39" i="11"/>
  <c r="C39" i="11"/>
  <c r="G38" i="11"/>
  <c r="F38" i="11"/>
  <c r="J38" i="11" s="1"/>
  <c r="E38" i="11"/>
  <c r="D38" i="11"/>
  <c r="C38" i="11"/>
  <c r="G37" i="11"/>
  <c r="F37" i="11"/>
  <c r="J37" i="11" s="1"/>
  <c r="E37" i="11"/>
  <c r="D37" i="11"/>
  <c r="C37" i="11"/>
  <c r="G36" i="11"/>
  <c r="F36" i="11"/>
  <c r="J36" i="11" s="1"/>
  <c r="E36" i="11"/>
  <c r="D36" i="11"/>
  <c r="C36" i="11"/>
  <c r="G35" i="11"/>
  <c r="F35" i="11"/>
  <c r="J35" i="11" s="1"/>
  <c r="E35" i="11"/>
  <c r="D35" i="11"/>
  <c r="C35" i="11"/>
  <c r="G34" i="11"/>
  <c r="F34" i="11"/>
  <c r="J34" i="11" s="1"/>
  <c r="E34" i="11"/>
  <c r="D34" i="11"/>
  <c r="C34" i="11"/>
  <c r="G33" i="11"/>
  <c r="F33" i="11"/>
  <c r="J33" i="11" s="1"/>
  <c r="E33" i="11"/>
  <c r="D33" i="11"/>
  <c r="C33" i="11"/>
  <c r="G32" i="11"/>
  <c r="F32" i="11"/>
  <c r="J32" i="11" s="1"/>
  <c r="E32" i="11"/>
  <c r="D32" i="11"/>
  <c r="C32" i="11"/>
  <c r="H30" i="11"/>
  <c r="H29" i="11"/>
  <c r="H28" i="11"/>
  <c r="H27" i="11"/>
  <c r="H26" i="11"/>
  <c r="H25" i="11"/>
  <c r="H24" i="11"/>
  <c r="H23" i="11"/>
  <c r="H22" i="11"/>
  <c r="H21" i="11"/>
  <c r="G17" i="11"/>
  <c r="F17" i="11"/>
  <c r="E17" i="11"/>
  <c r="D17" i="11"/>
  <c r="C17" i="11"/>
  <c r="E97" i="10"/>
  <c r="H97" i="10" s="1"/>
  <c r="E96" i="10"/>
  <c r="H96" i="10" s="1"/>
  <c r="E95" i="10"/>
  <c r="H95" i="10" s="1"/>
  <c r="E94" i="10"/>
  <c r="H94" i="10" s="1"/>
  <c r="E93" i="10"/>
  <c r="H93" i="10" s="1"/>
  <c r="E92" i="10"/>
  <c r="H92" i="10" s="1"/>
  <c r="E91" i="10"/>
  <c r="H91" i="10" s="1"/>
  <c r="E90" i="10"/>
  <c r="H90" i="10" s="1"/>
  <c r="E89" i="10"/>
  <c r="H89" i="10" s="1"/>
  <c r="E88" i="10"/>
  <c r="H88" i="10" s="1"/>
  <c r="D86" i="10"/>
  <c r="H86" i="10" s="1"/>
  <c r="D85" i="10"/>
  <c r="H85" i="10" s="1"/>
  <c r="D84" i="10"/>
  <c r="H84" i="10" s="1"/>
  <c r="D83" i="10"/>
  <c r="H83" i="10" s="1"/>
  <c r="D82" i="10"/>
  <c r="H82" i="10" s="1"/>
  <c r="D81" i="10"/>
  <c r="H81" i="10" s="1"/>
  <c r="D80" i="10"/>
  <c r="H80" i="10" s="1"/>
  <c r="D79" i="10"/>
  <c r="H79" i="10" s="1"/>
  <c r="D78" i="10"/>
  <c r="H78" i="10" s="1"/>
  <c r="D77" i="10"/>
  <c r="H77" i="10" s="1"/>
  <c r="C75" i="10"/>
  <c r="H75" i="10" s="1"/>
  <c r="H74" i="10"/>
  <c r="C74" i="10"/>
  <c r="C73" i="10"/>
  <c r="H73" i="10" s="1"/>
  <c r="C72" i="10"/>
  <c r="H72" i="10" s="1"/>
  <c r="C71" i="10"/>
  <c r="H71" i="10" s="1"/>
  <c r="C70" i="10"/>
  <c r="H70" i="10" s="1"/>
  <c r="C69" i="10"/>
  <c r="H69" i="10" s="1"/>
  <c r="C68" i="10"/>
  <c r="H68" i="10" s="1"/>
  <c r="C67" i="10"/>
  <c r="H67" i="10" s="1"/>
  <c r="C66" i="10"/>
  <c r="H66" i="10" s="1"/>
  <c r="J63" i="10"/>
  <c r="G63" i="10"/>
  <c r="F63" i="10"/>
  <c r="E63" i="10"/>
  <c r="J62" i="10"/>
  <c r="G62" i="10"/>
  <c r="F62" i="10"/>
  <c r="E62" i="10"/>
  <c r="J61" i="10"/>
  <c r="G61" i="10"/>
  <c r="F61" i="10"/>
  <c r="E61" i="10"/>
  <c r="J60" i="10"/>
  <c r="G60" i="10"/>
  <c r="F60" i="10"/>
  <c r="E60" i="10"/>
  <c r="J59" i="10"/>
  <c r="G59" i="10"/>
  <c r="F59" i="10"/>
  <c r="E59" i="10"/>
  <c r="J58" i="10"/>
  <c r="G58" i="10"/>
  <c r="F58" i="10"/>
  <c r="E58" i="10"/>
  <c r="J57" i="10"/>
  <c r="G57" i="10"/>
  <c r="F57" i="10"/>
  <c r="E57" i="10"/>
  <c r="J56" i="10"/>
  <c r="G56" i="10"/>
  <c r="F56" i="10"/>
  <c r="E56" i="10"/>
  <c r="J55" i="10"/>
  <c r="G55" i="10"/>
  <c r="F55" i="10"/>
  <c r="E55" i="10"/>
  <c r="J54" i="10"/>
  <c r="G54" i="10"/>
  <c r="F54" i="10"/>
  <c r="E54" i="10"/>
  <c r="F52" i="10"/>
  <c r="H52" i="10" s="1"/>
  <c r="F51" i="10"/>
  <c r="H51" i="10" s="1"/>
  <c r="F50" i="10"/>
  <c r="H50" i="10" s="1"/>
  <c r="F49" i="10"/>
  <c r="H49" i="10" s="1"/>
  <c r="F48" i="10"/>
  <c r="H48" i="10" s="1"/>
  <c r="F47" i="10"/>
  <c r="H47" i="10" s="1"/>
  <c r="F46" i="10"/>
  <c r="H46" i="10" s="1"/>
  <c r="F45" i="10"/>
  <c r="H45" i="10" s="1"/>
  <c r="F44" i="10"/>
  <c r="H44" i="10" s="1"/>
  <c r="F43" i="10"/>
  <c r="H43" i="10" s="1"/>
  <c r="G41" i="10"/>
  <c r="F41" i="10"/>
  <c r="J41" i="10" s="1"/>
  <c r="E41" i="10"/>
  <c r="D41" i="10"/>
  <c r="C41" i="10"/>
  <c r="G40" i="10"/>
  <c r="F40" i="10"/>
  <c r="J40" i="10" s="1"/>
  <c r="E40" i="10"/>
  <c r="D40" i="10"/>
  <c r="C40" i="10"/>
  <c r="G39" i="10"/>
  <c r="F39" i="10"/>
  <c r="J39" i="10" s="1"/>
  <c r="E39" i="10"/>
  <c r="D39" i="10"/>
  <c r="C39" i="10"/>
  <c r="G38" i="10"/>
  <c r="F38" i="10"/>
  <c r="J38" i="10" s="1"/>
  <c r="E38" i="10"/>
  <c r="D38" i="10"/>
  <c r="C38" i="10"/>
  <c r="G37" i="10"/>
  <c r="F37" i="10"/>
  <c r="J37" i="10" s="1"/>
  <c r="E37" i="10"/>
  <c r="D37" i="10"/>
  <c r="C37" i="10"/>
  <c r="G36" i="10"/>
  <c r="F36" i="10"/>
  <c r="J36" i="10" s="1"/>
  <c r="E36" i="10"/>
  <c r="D36" i="10"/>
  <c r="C36" i="10"/>
  <c r="G35" i="10"/>
  <c r="F35" i="10"/>
  <c r="J35" i="10" s="1"/>
  <c r="E35" i="10"/>
  <c r="D35" i="10"/>
  <c r="C35" i="10"/>
  <c r="G34" i="10"/>
  <c r="F34" i="10"/>
  <c r="J34" i="10" s="1"/>
  <c r="E34" i="10"/>
  <c r="D34" i="10"/>
  <c r="C34" i="10"/>
  <c r="G33" i="10"/>
  <c r="F33" i="10"/>
  <c r="J33" i="10" s="1"/>
  <c r="E33" i="10"/>
  <c r="D33" i="10"/>
  <c r="C33" i="10"/>
  <c r="G32" i="10"/>
  <c r="F32" i="10"/>
  <c r="J32" i="10" s="1"/>
  <c r="E32" i="10"/>
  <c r="D32" i="10"/>
  <c r="C32" i="10"/>
  <c r="H30" i="10"/>
  <c r="H29" i="10"/>
  <c r="H28" i="10"/>
  <c r="H27" i="10"/>
  <c r="H26" i="10"/>
  <c r="H25" i="10"/>
  <c r="H24" i="10"/>
  <c r="H23" i="10"/>
  <c r="H22" i="10"/>
  <c r="H21" i="10"/>
  <c r="G17" i="10"/>
  <c r="F17" i="10"/>
  <c r="E17" i="10"/>
  <c r="D17" i="10"/>
  <c r="C17" i="10"/>
  <c r="E97" i="7"/>
  <c r="H97" i="7" s="1"/>
  <c r="E96" i="7"/>
  <c r="H96" i="7" s="1"/>
  <c r="E95" i="7"/>
  <c r="H95" i="7" s="1"/>
  <c r="E94" i="7"/>
  <c r="H94" i="7" s="1"/>
  <c r="E93" i="7"/>
  <c r="H93" i="7" s="1"/>
  <c r="E92" i="7"/>
  <c r="H92" i="7" s="1"/>
  <c r="E91" i="7"/>
  <c r="H91" i="7" s="1"/>
  <c r="E90" i="7"/>
  <c r="H90" i="7" s="1"/>
  <c r="E89" i="7"/>
  <c r="H89" i="7" s="1"/>
  <c r="E88" i="7"/>
  <c r="H88" i="7" s="1"/>
  <c r="D86" i="7"/>
  <c r="H86" i="7" s="1"/>
  <c r="D85" i="7"/>
  <c r="H85" i="7" s="1"/>
  <c r="D84" i="7"/>
  <c r="H84" i="7" s="1"/>
  <c r="D83" i="7"/>
  <c r="H83" i="7" s="1"/>
  <c r="D82" i="7"/>
  <c r="H82" i="7" s="1"/>
  <c r="D81" i="7"/>
  <c r="H81" i="7" s="1"/>
  <c r="D80" i="7"/>
  <c r="H80" i="7" s="1"/>
  <c r="D79" i="7"/>
  <c r="H79" i="7" s="1"/>
  <c r="D78" i="7"/>
  <c r="H78" i="7" s="1"/>
  <c r="D77" i="7"/>
  <c r="H77" i="7" s="1"/>
  <c r="C75" i="7"/>
  <c r="H75" i="7" s="1"/>
  <c r="C74" i="7"/>
  <c r="H74" i="7" s="1"/>
  <c r="C73" i="7"/>
  <c r="H73" i="7" s="1"/>
  <c r="C72" i="7"/>
  <c r="H72" i="7" s="1"/>
  <c r="C71" i="7"/>
  <c r="H71" i="7" s="1"/>
  <c r="C70" i="7"/>
  <c r="H70" i="7" s="1"/>
  <c r="C69" i="7"/>
  <c r="H69" i="7" s="1"/>
  <c r="C68" i="7"/>
  <c r="H68" i="7" s="1"/>
  <c r="C67" i="7"/>
  <c r="H67" i="7" s="1"/>
  <c r="C66" i="7"/>
  <c r="H66" i="7" s="1"/>
  <c r="J63" i="7"/>
  <c r="G63" i="7"/>
  <c r="F63" i="7"/>
  <c r="E63" i="7"/>
  <c r="J62" i="7"/>
  <c r="G62" i="7"/>
  <c r="F62" i="7"/>
  <c r="E62" i="7"/>
  <c r="J61" i="7"/>
  <c r="G61" i="7"/>
  <c r="F61" i="7"/>
  <c r="E61" i="7"/>
  <c r="J60" i="7"/>
  <c r="G60" i="7"/>
  <c r="F60" i="7"/>
  <c r="E60" i="7"/>
  <c r="J59" i="7"/>
  <c r="G59" i="7"/>
  <c r="F59" i="7"/>
  <c r="E59" i="7"/>
  <c r="J58" i="7"/>
  <c r="G58" i="7"/>
  <c r="F58" i="7"/>
  <c r="E58" i="7"/>
  <c r="J57" i="7"/>
  <c r="G57" i="7"/>
  <c r="F57" i="7"/>
  <c r="E57" i="7"/>
  <c r="J56" i="7"/>
  <c r="G56" i="7"/>
  <c r="F56" i="7"/>
  <c r="E56" i="7"/>
  <c r="J55" i="7"/>
  <c r="G55" i="7"/>
  <c r="F55" i="7"/>
  <c r="E55" i="7"/>
  <c r="J54" i="7"/>
  <c r="G54" i="7"/>
  <c r="F54" i="7"/>
  <c r="E54" i="7"/>
  <c r="F52" i="7"/>
  <c r="H52" i="7" s="1"/>
  <c r="F51" i="7"/>
  <c r="H51" i="7" s="1"/>
  <c r="F50" i="7"/>
  <c r="H50" i="7" s="1"/>
  <c r="F49" i="7"/>
  <c r="H49" i="7" s="1"/>
  <c r="F48" i="7"/>
  <c r="H48" i="7" s="1"/>
  <c r="F47" i="7"/>
  <c r="H47" i="7" s="1"/>
  <c r="F46" i="7"/>
  <c r="H46" i="7" s="1"/>
  <c r="F45" i="7"/>
  <c r="H45" i="7" s="1"/>
  <c r="F44" i="7"/>
  <c r="H44" i="7" s="1"/>
  <c r="F43" i="7"/>
  <c r="H43" i="7" s="1"/>
  <c r="G41" i="7"/>
  <c r="F41" i="7"/>
  <c r="J41" i="7" s="1"/>
  <c r="E41" i="7"/>
  <c r="D41" i="7"/>
  <c r="C41" i="7"/>
  <c r="G40" i="7"/>
  <c r="F40" i="7"/>
  <c r="J40" i="7" s="1"/>
  <c r="E40" i="7"/>
  <c r="D40" i="7"/>
  <c r="C40" i="7"/>
  <c r="G39" i="7"/>
  <c r="F39" i="7"/>
  <c r="J39" i="7" s="1"/>
  <c r="E39" i="7"/>
  <c r="D39" i="7"/>
  <c r="C39" i="7"/>
  <c r="G38" i="7"/>
  <c r="F38" i="7"/>
  <c r="J38" i="7" s="1"/>
  <c r="E38" i="7"/>
  <c r="D38" i="7"/>
  <c r="C38" i="7"/>
  <c r="G37" i="7"/>
  <c r="F37" i="7"/>
  <c r="J37" i="7" s="1"/>
  <c r="E37" i="7"/>
  <c r="D37" i="7"/>
  <c r="C37" i="7"/>
  <c r="G36" i="7"/>
  <c r="F36" i="7"/>
  <c r="J36" i="7" s="1"/>
  <c r="E36" i="7"/>
  <c r="D36" i="7"/>
  <c r="C36" i="7"/>
  <c r="G35" i="7"/>
  <c r="F35" i="7"/>
  <c r="J35" i="7" s="1"/>
  <c r="E35" i="7"/>
  <c r="D35" i="7"/>
  <c r="C35" i="7"/>
  <c r="G34" i="7"/>
  <c r="F34" i="7"/>
  <c r="J34" i="7" s="1"/>
  <c r="E34" i="7"/>
  <c r="D34" i="7"/>
  <c r="C34" i="7"/>
  <c r="G33" i="7"/>
  <c r="F33" i="7"/>
  <c r="J33" i="7" s="1"/>
  <c r="E33" i="7"/>
  <c r="D33" i="7"/>
  <c r="C33" i="7"/>
  <c r="G32" i="7"/>
  <c r="F32" i="7"/>
  <c r="J32" i="7" s="1"/>
  <c r="E32" i="7"/>
  <c r="D32" i="7"/>
  <c r="C32" i="7"/>
  <c r="H30" i="7"/>
  <c r="H29" i="7"/>
  <c r="H28" i="7"/>
  <c r="H27" i="7"/>
  <c r="H26" i="7"/>
  <c r="H25" i="7"/>
  <c r="H24" i="7"/>
  <c r="H23" i="7"/>
  <c r="H22" i="7"/>
  <c r="H21" i="7"/>
  <c r="G17" i="7"/>
  <c r="F17" i="7"/>
  <c r="E17" i="7"/>
  <c r="D17" i="7"/>
  <c r="C17" i="7"/>
  <c r="E97" i="6"/>
  <c r="H97" i="6" s="1"/>
  <c r="H96" i="6"/>
  <c r="E96" i="6"/>
  <c r="H95" i="6"/>
  <c r="E95" i="6"/>
  <c r="H94" i="6"/>
  <c r="E94" i="6"/>
  <c r="E93" i="6"/>
  <c r="H93" i="6" s="1"/>
  <c r="H92" i="6"/>
  <c r="E92" i="6"/>
  <c r="H91" i="6"/>
  <c r="E91" i="6"/>
  <c r="H90" i="6"/>
  <c r="E90" i="6"/>
  <c r="E89" i="6"/>
  <c r="H89" i="6" s="1"/>
  <c r="H88" i="6"/>
  <c r="E88" i="6"/>
  <c r="H86" i="6"/>
  <c r="D86" i="6"/>
  <c r="H85" i="6"/>
  <c r="D85" i="6"/>
  <c r="D84" i="6"/>
  <c r="H84" i="6" s="1"/>
  <c r="H83" i="6"/>
  <c r="D83" i="6"/>
  <c r="H82" i="6"/>
  <c r="D82" i="6"/>
  <c r="H81" i="6"/>
  <c r="D81" i="6"/>
  <c r="D80" i="6"/>
  <c r="H80" i="6" s="1"/>
  <c r="H79" i="6"/>
  <c r="D79" i="6"/>
  <c r="H78" i="6"/>
  <c r="D78" i="6"/>
  <c r="H77" i="6"/>
  <c r="D77" i="6"/>
  <c r="C75" i="6"/>
  <c r="H75" i="6" s="1"/>
  <c r="H74" i="6"/>
  <c r="C74" i="6"/>
  <c r="H73" i="6"/>
  <c r="C73" i="6"/>
  <c r="H72" i="6"/>
  <c r="C72" i="6"/>
  <c r="C71" i="6"/>
  <c r="H71" i="6" s="1"/>
  <c r="H70" i="6"/>
  <c r="C70" i="6"/>
  <c r="H69" i="6"/>
  <c r="C69" i="6"/>
  <c r="H68" i="6"/>
  <c r="C68" i="6"/>
  <c r="C67" i="6"/>
  <c r="H67" i="6" s="1"/>
  <c r="H66" i="6"/>
  <c r="C66" i="6"/>
  <c r="J63" i="6"/>
  <c r="G63" i="6"/>
  <c r="F63" i="6"/>
  <c r="E63" i="6"/>
  <c r="H63" i="6" s="1"/>
  <c r="J62" i="6"/>
  <c r="H62" i="6"/>
  <c r="G62" i="6"/>
  <c r="F62" i="6"/>
  <c r="E62" i="6"/>
  <c r="J61" i="6"/>
  <c r="G61" i="6"/>
  <c r="F61" i="6"/>
  <c r="E61" i="6"/>
  <c r="H61" i="6" s="1"/>
  <c r="J60" i="6"/>
  <c r="H60" i="6"/>
  <c r="G60" i="6"/>
  <c r="F60" i="6"/>
  <c r="E60" i="6"/>
  <c r="J59" i="6"/>
  <c r="G59" i="6"/>
  <c r="H59" i="6" s="1"/>
  <c r="F59" i="6"/>
  <c r="E59" i="6"/>
  <c r="J58" i="6"/>
  <c r="G58" i="6"/>
  <c r="F58" i="6"/>
  <c r="E58" i="6"/>
  <c r="H58" i="6" s="1"/>
  <c r="J57" i="6"/>
  <c r="G57" i="6"/>
  <c r="F57" i="6"/>
  <c r="E57" i="6"/>
  <c r="H57" i="6" s="1"/>
  <c r="J56" i="6"/>
  <c r="G56" i="6"/>
  <c r="F56" i="6"/>
  <c r="H56" i="6" s="1"/>
  <c r="E56" i="6"/>
  <c r="J55" i="6"/>
  <c r="G55" i="6"/>
  <c r="F55" i="6"/>
  <c r="E55" i="6"/>
  <c r="H55" i="6" s="1"/>
  <c r="J54" i="6"/>
  <c r="H54" i="6"/>
  <c r="G54" i="6"/>
  <c r="F54" i="6"/>
  <c r="E54" i="6"/>
  <c r="H52" i="6"/>
  <c r="F52" i="6"/>
  <c r="F51" i="6"/>
  <c r="H51" i="6" s="1"/>
  <c r="H50" i="6"/>
  <c r="F50" i="6"/>
  <c r="H49" i="6"/>
  <c r="F49" i="6"/>
  <c r="H48" i="6"/>
  <c r="F48" i="6"/>
  <c r="F47" i="6"/>
  <c r="H47" i="6" s="1"/>
  <c r="H46" i="6"/>
  <c r="F46" i="6"/>
  <c r="H45" i="6"/>
  <c r="F45" i="6"/>
  <c r="H44" i="6"/>
  <c r="F44" i="6"/>
  <c r="F43" i="6"/>
  <c r="H43" i="6" s="1"/>
  <c r="J41" i="6"/>
  <c r="G41" i="6"/>
  <c r="F41" i="6"/>
  <c r="E41" i="6"/>
  <c r="D41" i="6"/>
  <c r="C41" i="6"/>
  <c r="H41" i="6" s="1"/>
  <c r="J40" i="6"/>
  <c r="H40" i="6"/>
  <c r="G40" i="6"/>
  <c r="F40" i="6"/>
  <c r="E40" i="6"/>
  <c r="D40" i="6"/>
  <c r="C40" i="6"/>
  <c r="J39" i="6"/>
  <c r="G39" i="6"/>
  <c r="H39" i="6" s="1"/>
  <c r="F39" i="6"/>
  <c r="E39" i="6"/>
  <c r="D39" i="6"/>
  <c r="C39" i="6"/>
  <c r="G38" i="6"/>
  <c r="F38" i="6"/>
  <c r="J38" i="6" s="1"/>
  <c r="E38" i="6"/>
  <c r="D38" i="6"/>
  <c r="C38" i="6"/>
  <c r="G37" i="6"/>
  <c r="F37" i="6"/>
  <c r="J37" i="6" s="1"/>
  <c r="E37" i="6"/>
  <c r="D37" i="6"/>
  <c r="C37" i="6"/>
  <c r="H37" i="6" s="1"/>
  <c r="G36" i="6"/>
  <c r="F36" i="6"/>
  <c r="J36" i="6" s="1"/>
  <c r="E36" i="6"/>
  <c r="D36" i="6"/>
  <c r="H36" i="6" s="1"/>
  <c r="C36" i="6"/>
  <c r="J35" i="6"/>
  <c r="G35" i="6"/>
  <c r="F35" i="6"/>
  <c r="E35" i="6"/>
  <c r="D35" i="6"/>
  <c r="C35" i="6"/>
  <c r="H35" i="6" s="1"/>
  <c r="G34" i="6"/>
  <c r="F34" i="6"/>
  <c r="J34" i="6" s="1"/>
  <c r="E34" i="6"/>
  <c r="D34" i="6"/>
  <c r="C34" i="6"/>
  <c r="H34" i="6" s="1"/>
  <c r="J33" i="6"/>
  <c r="G33" i="6"/>
  <c r="F33" i="6"/>
  <c r="E33" i="6"/>
  <c r="D33" i="6"/>
  <c r="C33" i="6"/>
  <c r="H33" i="6" s="1"/>
  <c r="J32" i="6"/>
  <c r="H32" i="6"/>
  <c r="G32" i="6"/>
  <c r="F32" i="6"/>
  <c r="E32" i="6"/>
  <c r="D32" i="6"/>
  <c r="C32" i="6"/>
  <c r="H30" i="6"/>
  <c r="H29" i="6"/>
  <c r="H28" i="6"/>
  <c r="H27" i="6"/>
  <c r="H26" i="6"/>
  <c r="H25" i="6"/>
  <c r="H24" i="6"/>
  <c r="H23" i="6"/>
  <c r="H22" i="6"/>
  <c r="H21" i="6"/>
  <c r="H17" i="6"/>
  <c r="G17" i="6"/>
  <c r="F17" i="6"/>
  <c r="E17" i="6"/>
  <c r="D17" i="6"/>
  <c r="C17" i="6"/>
  <c r="E97" i="4"/>
  <c r="H97" i="4" s="1"/>
  <c r="E96" i="4"/>
  <c r="H96" i="4" s="1"/>
  <c r="E95" i="4"/>
  <c r="H95" i="4" s="1"/>
  <c r="E94" i="4"/>
  <c r="H94" i="4" s="1"/>
  <c r="E93" i="4"/>
  <c r="H93" i="4" s="1"/>
  <c r="E92" i="4"/>
  <c r="H92" i="4" s="1"/>
  <c r="E91" i="4"/>
  <c r="H91" i="4" s="1"/>
  <c r="E90" i="4"/>
  <c r="H90" i="4" s="1"/>
  <c r="E89" i="4"/>
  <c r="H89" i="4" s="1"/>
  <c r="E88" i="4"/>
  <c r="H88" i="4" s="1"/>
  <c r="D86" i="4"/>
  <c r="H86" i="4" s="1"/>
  <c r="D85" i="4"/>
  <c r="H85" i="4" s="1"/>
  <c r="D84" i="4"/>
  <c r="H84" i="4" s="1"/>
  <c r="D83" i="4"/>
  <c r="H83" i="4" s="1"/>
  <c r="D82" i="4"/>
  <c r="H82" i="4" s="1"/>
  <c r="D81" i="4"/>
  <c r="H81" i="4" s="1"/>
  <c r="D80" i="4"/>
  <c r="H80" i="4" s="1"/>
  <c r="D79" i="4"/>
  <c r="H79" i="4" s="1"/>
  <c r="D78" i="4"/>
  <c r="H78" i="4" s="1"/>
  <c r="D77" i="4"/>
  <c r="H77" i="4" s="1"/>
  <c r="C75" i="4"/>
  <c r="H75" i="4" s="1"/>
  <c r="C74" i="4"/>
  <c r="H74" i="4" s="1"/>
  <c r="C73" i="4"/>
  <c r="H73" i="4" s="1"/>
  <c r="C72" i="4"/>
  <c r="H72" i="4" s="1"/>
  <c r="C71" i="4"/>
  <c r="H71" i="4" s="1"/>
  <c r="C70" i="4"/>
  <c r="H70" i="4" s="1"/>
  <c r="C69" i="4"/>
  <c r="H69" i="4" s="1"/>
  <c r="C68" i="4"/>
  <c r="H68" i="4" s="1"/>
  <c r="C67" i="4"/>
  <c r="H67" i="4" s="1"/>
  <c r="C66" i="4"/>
  <c r="H66" i="4" s="1"/>
  <c r="J63" i="4"/>
  <c r="G63" i="4"/>
  <c r="F63" i="4"/>
  <c r="E63" i="4"/>
  <c r="J62" i="4"/>
  <c r="G62" i="4"/>
  <c r="F62" i="4"/>
  <c r="E62" i="4"/>
  <c r="J61" i="4"/>
  <c r="G61" i="4"/>
  <c r="F61" i="4"/>
  <c r="E61" i="4"/>
  <c r="J60" i="4"/>
  <c r="G60" i="4"/>
  <c r="F60" i="4"/>
  <c r="E60" i="4"/>
  <c r="J59" i="4"/>
  <c r="G59" i="4"/>
  <c r="F59" i="4"/>
  <c r="E59" i="4"/>
  <c r="J58" i="4"/>
  <c r="G58" i="4"/>
  <c r="F58" i="4"/>
  <c r="E58" i="4"/>
  <c r="J57" i="4"/>
  <c r="G57" i="4"/>
  <c r="F57" i="4"/>
  <c r="E57" i="4"/>
  <c r="J56" i="4"/>
  <c r="G56" i="4"/>
  <c r="F56" i="4"/>
  <c r="E56" i="4"/>
  <c r="J55" i="4"/>
  <c r="G55" i="4"/>
  <c r="F55" i="4"/>
  <c r="E55" i="4"/>
  <c r="J54" i="4"/>
  <c r="G54" i="4"/>
  <c r="F54" i="4"/>
  <c r="E54" i="4"/>
  <c r="F52" i="4"/>
  <c r="H52" i="4" s="1"/>
  <c r="F51" i="4"/>
  <c r="H51" i="4" s="1"/>
  <c r="F50" i="4"/>
  <c r="H50" i="4" s="1"/>
  <c r="F49" i="4"/>
  <c r="H49" i="4" s="1"/>
  <c r="F48" i="4"/>
  <c r="H48" i="4" s="1"/>
  <c r="F47" i="4"/>
  <c r="H47" i="4" s="1"/>
  <c r="F46" i="4"/>
  <c r="H46" i="4" s="1"/>
  <c r="F45" i="4"/>
  <c r="H45" i="4" s="1"/>
  <c r="F44" i="4"/>
  <c r="H44" i="4" s="1"/>
  <c r="F43" i="4"/>
  <c r="H43" i="4" s="1"/>
  <c r="G41" i="4"/>
  <c r="F41" i="4"/>
  <c r="J41" i="4" s="1"/>
  <c r="E41" i="4"/>
  <c r="D41" i="4"/>
  <c r="C41" i="4"/>
  <c r="G40" i="4"/>
  <c r="F40" i="4"/>
  <c r="J40" i="4" s="1"/>
  <c r="E40" i="4"/>
  <c r="D40" i="4"/>
  <c r="C40" i="4"/>
  <c r="G39" i="4"/>
  <c r="F39" i="4"/>
  <c r="J39" i="4" s="1"/>
  <c r="E39" i="4"/>
  <c r="D39" i="4"/>
  <c r="C39" i="4"/>
  <c r="G38" i="4"/>
  <c r="F38" i="4"/>
  <c r="J38" i="4" s="1"/>
  <c r="E38" i="4"/>
  <c r="D38" i="4"/>
  <c r="C38" i="4"/>
  <c r="G37" i="4"/>
  <c r="F37" i="4"/>
  <c r="J37" i="4" s="1"/>
  <c r="E37" i="4"/>
  <c r="D37" i="4"/>
  <c r="C37" i="4"/>
  <c r="G36" i="4"/>
  <c r="F36" i="4"/>
  <c r="E36" i="4"/>
  <c r="D36" i="4"/>
  <c r="C36" i="4"/>
  <c r="G35" i="4"/>
  <c r="F35" i="4"/>
  <c r="J35" i="4" s="1"/>
  <c r="E35" i="4"/>
  <c r="D35" i="4"/>
  <c r="C35" i="4"/>
  <c r="G34" i="4"/>
  <c r="F34" i="4"/>
  <c r="J34" i="4" s="1"/>
  <c r="E34" i="4"/>
  <c r="D34" i="4"/>
  <c r="C34" i="4"/>
  <c r="G33" i="4"/>
  <c r="F33" i="4"/>
  <c r="J33" i="4" s="1"/>
  <c r="E33" i="4"/>
  <c r="D33" i="4"/>
  <c r="C33" i="4"/>
  <c r="G32" i="4"/>
  <c r="F32" i="4"/>
  <c r="J32" i="4" s="1"/>
  <c r="E32" i="4"/>
  <c r="D32" i="4"/>
  <c r="C32" i="4"/>
  <c r="H30" i="4"/>
  <c r="H29" i="4"/>
  <c r="H28" i="4"/>
  <c r="H27" i="4"/>
  <c r="H26" i="4"/>
  <c r="H25" i="4"/>
  <c r="H24" i="4"/>
  <c r="H23" i="4"/>
  <c r="H22" i="4"/>
  <c r="H21" i="4"/>
  <c r="G17" i="4"/>
  <c r="F17" i="4"/>
  <c r="E17" i="4"/>
  <c r="D17" i="4"/>
  <c r="C17" i="4"/>
  <c r="D17" i="2"/>
  <c r="E17" i="2"/>
  <c r="F17" i="2"/>
  <c r="G17" i="2"/>
  <c r="C17" i="2"/>
  <c r="E55" i="2"/>
  <c r="E56" i="2"/>
  <c r="E57" i="2"/>
  <c r="E58" i="2"/>
  <c r="E59" i="2"/>
  <c r="E60" i="2"/>
  <c r="E61" i="2"/>
  <c r="E62" i="2"/>
  <c r="E63" i="2"/>
  <c r="E54" i="2"/>
  <c r="G54" i="2"/>
  <c r="G55" i="2"/>
  <c r="G56" i="2"/>
  <c r="G57" i="2"/>
  <c r="G58" i="2"/>
  <c r="G59" i="2"/>
  <c r="G60" i="2"/>
  <c r="G61" i="2"/>
  <c r="G62" i="2"/>
  <c r="G63" i="2"/>
  <c r="F55" i="2"/>
  <c r="F56" i="2"/>
  <c r="F57" i="2"/>
  <c r="F58" i="2"/>
  <c r="F59" i="2"/>
  <c r="F60" i="2"/>
  <c r="F61" i="2"/>
  <c r="F62" i="2"/>
  <c r="F63" i="2"/>
  <c r="F54" i="2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43" i="2"/>
  <c r="H43" i="2" s="1"/>
  <c r="E89" i="2"/>
  <c r="H89" i="2" s="1"/>
  <c r="E90" i="2"/>
  <c r="H90" i="2" s="1"/>
  <c r="E91" i="2"/>
  <c r="H91" i="2" s="1"/>
  <c r="E92" i="2"/>
  <c r="H92" i="2" s="1"/>
  <c r="E93" i="2"/>
  <c r="H93" i="2" s="1"/>
  <c r="E94" i="2"/>
  <c r="H94" i="2" s="1"/>
  <c r="E95" i="2"/>
  <c r="H95" i="2" s="1"/>
  <c r="E96" i="2"/>
  <c r="H96" i="2" s="1"/>
  <c r="E97" i="2"/>
  <c r="H97" i="2" s="1"/>
  <c r="E88" i="2"/>
  <c r="H88" i="2" s="1"/>
  <c r="D78" i="2"/>
  <c r="H78" i="2" s="1"/>
  <c r="D79" i="2"/>
  <c r="H79" i="2" s="1"/>
  <c r="D80" i="2"/>
  <c r="H80" i="2" s="1"/>
  <c r="D81" i="2"/>
  <c r="H81" i="2" s="1"/>
  <c r="D82" i="2"/>
  <c r="H82" i="2" s="1"/>
  <c r="D83" i="2"/>
  <c r="H83" i="2" s="1"/>
  <c r="D84" i="2"/>
  <c r="H84" i="2" s="1"/>
  <c r="D85" i="2"/>
  <c r="H85" i="2" s="1"/>
  <c r="D86" i="2"/>
  <c r="H86" i="2" s="1"/>
  <c r="D77" i="2"/>
  <c r="H77" i="2" s="1"/>
  <c r="C67" i="2"/>
  <c r="H67" i="2" s="1"/>
  <c r="C68" i="2"/>
  <c r="H68" i="2" s="1"/>
  <c r="C69" i="2"/>
  <c r="H69" i="2" s="1"/>
  <c r="C70" i="2"/>
  <c r="H70" i="2" s="1"/>
  <c r="C71" i="2"/>
  <c r="H71" i="2" s="1"/>
  <c r="C72" i="2"/>
  <c r="H72" i="2" s="1"/>
  <c r="C73" i="2"/>
  <c r="H73" i="2" s="1"/>
  <c r="C74" i="2"/>
  <c r="H74" i="2" s="1"/>
  <c r="C75" i="2"/>
  <c r="H75" i="2" s="1"/>
  <c r="C66" i="2"/>
  <c r="H66" i="2" s="1"/>
  <c r="D32" i="2"/>
  <c r="E32" i="2"/>
  <c r="F32" i="2"/>
  <c r="H32" i="2" s="1"/>
  <c r="G32" i="2"/>
  <c r="D33" i="2"/>
  <c r="E33" i="2"/>
  <c r="F33" i="2"/>
  <c r="H33" i="2" s="1"/>
  <c r="G33" i="2"/>
  <c r="D34" i="2"/>
  <c r="E34" i="2"/>
  <c r="F34" i="2"/>
  <c r="H34" i="2" s="1"/>
  <c r="G34" i="2"/>
  <c r="D35" i="2"/>
  <c r="E35" i="2"/>
  <c r="F35" i="2"/>
  <c r="H35" i="2" s="1"/>
  <c r="G35" i="2"/>
  <c r="D36" i="2"/>
  <c r="E36" i="2"/>
  <c r="F36" i="2"/>
  <c r="G36" i="2"/>
  <c r="D37" i="2"/>
  <c r="E37" i="2"/>
  <c r="F37" i="2"/>
  <c r="H37" i="2" s="1"/>
  <c r="G37" i="2"/>
  <c r="D38" i="2"/>
  <c r="E38" i="2"/>
  <c r="F38" i="2"/>
  <c r="G38" i="2"/>
  <c r="D39" i="2"/>
  <c r="E39" i="2"/>
  <c r="F39" i="2"/>
  <c r="H39" i="2" s="1"/>
  <c r="G39" i="2"/>
  <c r="D40" i="2"/>
  <c r="E40" i="2"/>
  <c r="F40" i="2"/>
  <c r="H40" i="2" s="1"/>
  <c r="G40" i="2"/>
  <c r="D41" i="2"/>
  <c r="E41" i="2"/>
  <c r="F41" i="2"/>
  <c r="H41" i="2" s="1"/>
  <c r="G41" i="2"/>
  <c r="C33" i="2"/>
  <c r="C34" i="2"/>
  <c r="C35" i="2"/>
  <c r="C36" i="2"/>
  <c r="C37" i="2"/>
  <c r="C38" i="2"/>
  <c r="C39" i="2"/>
  <c r="C40" i="2"/>
  <c r="C41" i="2"/>
  <c r="C32" i="2"/>
  <c r="H22" i="2"/>
  <c r="H23" i="2"/>
  <c r="H24" i="2"/>
  <c r="H25" i="2"/>
  <c r="H26" i="2"/>
  <c r="H27" i="2"/>
  <c r="H28" i="2"/>
  <c r="H29" i="2"/>
  <c r="H30" i="2"/>
  <c r="H21" i="2"/>
  <c r="J56" i="2" l="1"/>
  <c r="J61" i="2"/>
  <c r="J54" i="2"/>
  <c r="J35" i="2"/>
  <c r="J38" i="2"/>
  <c r="J36" i="2"/>
  <c r="J63" i="2"/>
  <c r="J55" i="2"/>
  <c r="J34" i="2"/>
  <c r="J60" i="2"/>
  <c r="J39" i="2"/>
  <c r="J58" i="2"/>
  <c r="J32" i="2"/>
  <c r="J40" i="2"/>
  <c r="J59" i="2"/>
  <c r="J37" i="2"/>
  <c r="J41" i="2"/>
  <c r="J33" i="2"/>
  <c r="J62" i="2"/>
  <c r="J57" i="2"/>
  <c r="H38" i="2"/>
  <c r="H36" i="2"/>
  <c r="H56" i="10"/>
  <c r="H58" i="10"/>
  <c r="H57" i="10"/>
  <c r="H59" i="10"/>
  <c r="H61" i="10"/>
  <c r="H38" i="10"/>
  <c r="H41" i="10"/>
  <c r="H17" i="10"/>
  <c r="H37" i="10"/>
  <c r="H39" i="10"/>
  <c r="H60" i="10"/>
  <c r="H32" i="10"/>
  <c r="H36" i="10"/>
  <c r="H62" i="10"/>
  <c r="H34" i="10"/>
  <c r="H33" i="10"/>
  <c r="H40" i="10"/>
  <c r="H63" i="10"/>
  <c r="H55" i="10"/>
  <c r="H54" i="10"/>
  <c r="H61" i="12"/>
  <c r="H59" i="12"/>
  <c r="H57" i="12"/>
  <c r="H38" i="12"/>
  <c r="H32" i="12"/>
  <c r="H37" i="12"/>
  <c r="H39" i="12"/>
  <c r="H54" i="12"/>
  <c r="H56" i="12"/>
  <c r="H60" i="12"/>
  <c r="H62" i="12"/>
  <c r="H34" i="12"/>
  <c r="H36" i="12"/>
  <c r="H17" i="12"/>
  <c r="H41" i="12"/>
  <c r="H58" i="12"/>
  <c r="H40" i="12"/>
  <c r="H55" i="12"/>
  <c r="H33" i="12"/>
  <c r="H63" i="12"/>
  <c r="H39" i="11"/>
  <c r="H62" i="11"/>
  <c r="H33" i="11"/>
  <c r="H55" i="11"/>
  <c r="H32" i="11"/>
  <c r="H41" i="11"/>
  <c r="H40" i="11"/>
  <c r="H57" i="11"/>
  <c r="H59" i="11"/>
  <c r="H61" i="11"/>
  <c r="H37" i="11"/>
  <c r="H58" i="11"/>
  <c r="H36" i="11"/>
  <c r="H17" i="11"/>
  <c r="H63" i="11"/>
  <c r="H38" i="11"/>
  <c r="H54" i="11"/>
  <c r="H56" i="11"/>
  <c r="H34" i="11"/>
  <c r="H60" i="11"/>
  <c r="H35" i="12"/>
  <c r="H35" i="11"/>
  <c r="H35" i="10"/>
  <c r="H56" i="4"/>
  <c r="H33" i="7"/>
  <c r="H35" i="7"/>
  <c r="H54" i="7"/>
  <c r="H32" i="7"/>
  <c r="H61" i="7"/>
  <c r="H17" i="7"/>
  <c r="H56" i="7"/>
  <c r="H60" i="7"/>
  <c r="H62" i="7"/>
  <c r="H55" i="7"/>
  <c r="H39" i="7"/>
  <c r="H37" i="7"/>
  <c r="H40" i="7"/>
  <c r="H63" i="7"/>
  <c r="H58" i="7"/>
  <c r="H36" i="7"/>
  <c r="H38" i="7"/>
  <c r="H57" i="7"/>
  <c r="H34" i="7"/>
  <c r="H41" i="7"/>
  <c r="H59" i="7"/>
  <c r="H38" i="6"/>
  <c r="H41" i="4"/>
  <c r="H17" i="4"/>
  <c r="H35" i="4"/>
  <c r="H55" i="4"/>
  <c r="H34" i="4"/>
  <c r="H57" i="4"/>
  <c r="H59" i="4"/>
  <c r="H61" i="4"/>
  <c r="H63" i="4"/>
  <c r="H38" i="4"/>
  <c r="H40" i="4"/>
  <c r="H33" i="4"/>
  <c r="H37" i="4"/>
  <c r="H54" i="4"/>
  <c r="H39" i="4"/>
  <c r="H58" i="4"/>
  <c r="H60" i="4"/>
  <c r="H62" i="4"/>
  <c r="H36" i="4"/>
  <c r="H32" i="4"/>
  <c r="J36" i="4"/>
  <c r="H17" i="2"/>
</calcChain>
</file>

<file path=xl/sharedStrings.xml><?xml version="1.0" encoding="utf-8"?>
<sst xmlns="http://schemas.openxmlformats.org/spreadsheetml/2006/main" count="1654" uniqueCount="285">
  <si>
    <t>TABLE 1: Peak Demand by State (MW)</t>
  </si>
  <si>
    <t>Source: CEA FY2023-24, rounded to nearest 500 MW</t>
  </si>
  <si>
    <t>#</t>
  </si>
  <si>
    <t>State</t>
  </si>
  <si>
    <t>Peak Demand (MW)</t>
  </si>
  <si>
    <t>Uttar Pradesh</t>
  </si>
  <si>
    <t>Maharashtra</t>
  </si>
  <si>
    <t>Tamil Nadu</t>
  </si>
  <si>
    <t>Gujarat</t>
  </si>
  <si>
    <t>Rajasthan</t>
  </si>
  <si>
    <t>Madhya Pradesh</t>
  </si>
  <si>
    <t>Karnataka</t>
  </si>
  <si>
    <t>Andhra Pradesh</t>
  </si>
  <si>
    <t>Himachal Pradesh</t>
  </si>
  <si>
    <t>Assam</t>
  </si>
  <si>
    <t>TABLE 2: Capacity Factors (CF) by State &amp; Technology</t>
  </si>
  <si>
    <t>Solar</t>
  </si>
  <si>
    <t>Wind</t>
  </si>
  <si>
    <t>Hydro</t>
  </si>
  <si>
    <t>Coal</t>
  </si>
  <si>
    <t>Gas</t>
  </si>
  <si>
    <t>TABLE 3: Annualized Capital Cost ($/MW-year)</t>
  </si>
  <si>
    <r>
      <t>Same for all states — technology cost doesn't vary by location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Source: IRENA 2023, India-specific estimates</t>
    </r>
  </si>
  <si>
    <t>Technology</t>
  </si>
  <si>
    <t>Annualized Cost ($/MW-year)</t>
  </si>
  <si>
    <t>Installed Cost Basis</t>
  </si>
  <si>
    <t>~$700/W, 25yr life, 8% discount</t>
  </si>
  <si>
    <t>~$850/W, 25yr life, 8% discount</t>
  </si>
  <si>
    <t>~$1,500/W, 40yr life, 8% discount</t>
  </si>
  <si>
    <t>~$1,200/W, 30yr life, 8% discount</t>
  </si>
  <si>
    <t>~$600/W, 25yr life, 8% discount</t>
  </si>
  <si>
    <t>TABLE 4: Emissions Intensity (tCO₂/MW-year)</t>
  </si>
  <si>
    <t>Capacity-based proxy = average CF × 8,760 hrs × emission rate (tCO₂/MWh)</t>
  </si>
  <si>
    <t>Emission Rate (tCO₂/MWh)</t>
  </si>
  <si>
    <t>tCO₂/MW-year</t>
  </si>
  <si>
    <t>Based on MNRE resource potential assessments and land availability</t>
  </si>
  <si>
    <t>Decision Variables</t>
  </si>
  <si>
    <t>Objective Function</t>
  </si>
  <si>
    <t>Minimize total cost</t>
  </si>
  <si>
    <t>TABLE 6: Minimum RE Additions by 2030 (MW)</t>
  </si>
  <si>
    <r>
      <t>Constraint P3 — each state must install AT LEAST this much renewable capacity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Source: MNRE state targets + Ministry of Power 500GW plan</t>
    </r>
  </si>
  <si>
    <t>Min Solar (MW)</t>
  </si>
  <si>
    <t>Min Wind (MW)</t>
  </si>
  <si>
    <t>Min Hydro (MW)</t>
  </si>
  <si>
    <t>TABLE 7: Minimum Coal Capacity Floor (MW)</t>
  </si>
  <si>
    <r>
      <t>Constraint B2 — Just Transition: coal-dependent states can't drop below this floor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Based on current installed coal capacity — states must retain at least 30% of existing coal</t>
    </r>
  </si>
  <si>
    <t>Current Coal Capacity (MW)</t>
  </si>
  <si>
    <t>Minimum Floor (30%) (MW)</t>
  </si>
  <si>
    <t>Constraints</t>
  </si>
  <si>
    <t>Capacity and Demand</t>
  </si>
  <si>
    <t>LHS</t>
  </si>
  <si>
    <t>RHS</t>
  </si>
  <si>
    <t>&gt;=</t>
  </si>
  <si>
    <t>Coal ceiling cap</t>
  </si>
  <si>
    <t>Renewables floor minimum</t>
  </si>
  <si>
    <t>Coal floor minimum</t>
  </si>
  <si>
    <t>For solar</t>
  </si>
  <si>
    <t>For wind</t>
  </si>
  <si>
    <t>For Hydro</t>
  </si>
  <si>
    <t>Grid Stability via conventional sources</t>
  </si>
  <si>
    <t>Cost</t>
  </si>
  <si>
    <t>Cost of installation</t>
  </si>
  <si>
    <t>ENERGY PLANNING FOR INDIA</t>
  </si>
  <si>
    <t>Fraction of installed capacity that actually generates on average.</t>
  </si>
  <si>
    <t>Microsoft Excel 16.0 Sensitivity Report</t>
  </si>
  <si>
    <t>Worksheet: [POE Project.xlsx]LPP Modelling</t>
  </si>
  <si>
    <t>Variable Cells</t>
  </si>
  <si>
    <t>Cell</t>
  </si>
  <si>
    <t>Name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</si>
  <si>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</si>
  <si>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</si>
  <si>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</si>
  <si>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</si>
  <si>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</si>
  <si>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</si>
  <si>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</si>
  <si>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</si>
  <si>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</si>
  <si>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</si>
  <si>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</si>
  <si>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</si>
  <si>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$C$5</t>
  </si>
  <si>
    <t>Uttar Pradesh Solar</t>
  </si>
  <si>
    <t>$D$5</t>
  </si>
  <si>
    <t>Uttar Pradesh Wind</t>
  </si>
  <si>
    <t>$E$5</t>
  </si>
  <si>
    <t>Uttar Pradesh Hydro</t>
  </si>
  <si>
    <t>$F$5</t>
  </si>
  <si>
    <t>Uttar Pradesh Coal</t>
  </si>
  <si>
    <t>$G$5</t>
  </si>
  <si>
    <t>Uttar Pradesh Gas</t>
  </si>
  <si>
    <t>$C$6</t>
  </si>
  <si>
    <t>Maharashtra Solar</t>
  </si>
  <si>
    <t>$D$6</t>
  </si>
  <si>
    <t>Maharashtra Wind</t>
  </si>
  <si>
    <t>$E$6</t>
  </si>
  <si>
    <t>Maharashtra Hydro</t>
  </si>
  <si>
    <t>$F$6</t>
  </si>
  <si>
    <t>Maharashtra Coal</t>
  </si>
  <si>
    <t>$G$6</t>
  </si>
  <si>
    <t>Maharashtra Gas</t>
  </si>
  <si>
    <t>$C$7</t>
  </si>
  <si>
    <t>Tamil Nadu Solar</t>
  </si>
  <si>
    <t>$D$7</t>
  </si>
  <si>
    <t>Tamil Nadu Wind</t>
  </si>
  <si>
    <t>$E$7</t>
  </si>
  <si>
    <t>Tamil Nadu Hydro</t>
  </si>
  <si>
    <t>$F$7</t>
  </si>
  <si>
    <t>Tamil Nadu Coal</t>
  </si>
  <si>
    <t>$G$7</t>
  </si>
  <si>
    <t>Tamil Nadu Gas</t>
  </si>
  <si>
    <t>$C$8</t>
  </si>
  <si>
    <t>Gujarat Solar</t>
  </si>
  <si>
    <t>$D$8</t>
  </si>
  <si>
    <t>Gujarat Wind</t>
  </si>
  <si>
    <t>$E$8</t>
  </si>
  <si>
    <t>Gujarat Hydro</t>
  </si>
  <si>
    <t>$F$8</t>
  </si>
  <si>
    <t>Gujarat Coal</t>
  </si>
  <si>
    <t>$G$8</t>
  </si>
  <si>
    <t>Gujarat Gas</t>
  </si>
  <si>
    <t>$C$9</t>
  </si>
  <si>
    <t>Rajasthan Solar</t>
  </si>
  <si>
    <t>$D$9</t>
  </si>
  <si>
    <t>Rajasthan Wind</t>
  </si>
  <si>
    <t>$E$9</t>
  </si>
  <si>
    <t>Rajasthan Hydro</t>
  </si>
  <si>
    <t>$F$9</t>
  </si>
  <si>
    <t>Rajasthan Coal</t>
  </si>
  <si>
    <t>$G$9</t>
  </si>
  <si>
    <t>Rajasthan Gas</t>
  </si>
  <si>
    <t>$C$10</t>
  </si>
  <si>
    <t>Madhya Pradesh Solar</t>
  </si>
  <si>
    <t>$D$10</t>
  </si>
  <si>
    <t>Madhya Pradesh Wind</t>
  </si>
  <si>
    <t>$E$10</t>
  </si>
  <si>
    <t>Madhya Pradesh Hydro</t>
  </si>
  <si>
    <t>$F$10</t>
  </si>
  <si>
    <t>Madhya Pradesh Coal</t>
  </si>
  <si>
    <t>$G$10</t>
  </si>
  <si>
    <t>Madhya Pradesh Gas</t>
  </si>
  <si>
    <t>$C$11</t>
  </si>
  <si>
    <t>Karnataka Solar</t>
  </si>
  <si>
    <t>$D$11</t>
  </si>
  <si>
    <t>Karnataka Wind</t>
  </si>
  <si>
    <t>$E$11</t>
  </si>
  <si>
    <t>Karnataka Hydro</t>
  </si>
  <si>
    <t>$F$11</t>
  </si>
  <si>
    <t>Karnataka Coal</t>
  </si>
  <si>
    <t>$G$11</t>
  </si>
  <si>
    <t>Karnataka Gas</t>
  </si>
  <si>
    <t>$C$12</t>
  </si>
  <si>
    <t>Andhra Pradesh Solar</t>
  </si>
  <si>
    <t>$D$12</t>
  </si>
  <si>
    <t>Andhra Pradesh Wind</t>
  </si>
  <si>
    <t>$E$12</t>
  </si>
  <si>
    <t>Andhra Pradesh Hydro</t>
  </si>
  <si>
    <t>$F$12</t>
  </si>
  <si>
    <t>Andhra Pradesh Coal</t>
  </si>
  <si>
    <t>$G$12</t>
  </si>
  <si>
    <t>Andhra Pradesh Gas</t>
  </si>
  <si>
    <t>$C$13</t>
  </si>
  <si>
    <t>Himachal Pradesh Solar</t>
  </si>
  <si>
    <t>$D$13</t>
  </si>
  <si>
    <t>Himachal Pradesh Wind</t>
  </si>
  <si>
    <t>$E$13</t>
  </si>
  <si>
    <t>Himachal Pradesh Hydro</t>
  </si>
  <si>
    <t>$F$13</t>
  </si>
  <si>
    <t>Himachal Pradesh Coal</t>
  </si>
  <si>
    <t>$G$13</t>
  </si>
  <si>
    <t>Himachal Pradesh Gas</t>
  </si>
  <si>
    <t>$C$14</t>
  </si>
  <si>
    <t>Assam Solar</t>
  </si>
  <si>
    <t>$D$14</t>
  </si>
  <si>
    <t>Assam Wind</t>
  </si>
  <si>
    <t>$E$14</t>
  </si>
  <si>
    <t>Assam Hydro</t>
  </si>
  <si>
    <t>$F$14</t>
  </si>
  <si>
    <t>Assam Coal</t>
  </si>
  <si>
    <t>$G$14</t>
  </si>
  <si>
    <t>Assam Gas</t>
  </si>
  <si>
    <t>$H$21</t>
  </si>
  <si>
    <t>Uttar Pradesh LHS</t>
  </si>
  <si>
    <t>$H$22</t>
  </si>
  <si>
    <t>Maharashtra LHS</t>
  </si>
  <si>
    <t>$H$23</t>
  </si>
  <si>
    <t>Tamil Nadu LHS</t>
  </si>
  <si>
    <t>$H$24</t>
  </si>
  <si>
    <t>Gujarat LHS</t>
  </si>
  <si>
    <t>$H$25</t>
  </si>
  <si>
    <t>Rajasthan LHS</t>
  </si>
  <si>
    <t>$H$26</t>
  </si>
  <si>
    <t>Madhya Pradesh LHS</t>
  </si>
  <si>
    <t>$H$27</t>
  </si>
  <si>
    <t>Karnataka LHS</t>
  </si>
  <si>
    <t>$H$28</t>
  </si>
  <si>
    <t>Andhra Pradesh LHS</t>
  </si>
  <si>
    <t>$H$29</t>
  </si>
  <si>
    <t>Himachal Pradesh LHS</t>
  </si>
  <si>
    <t>$H$30</t>
  </si>
  <si>
    <t>Assam LHS</t>
  </si>
  <si>
    <t>$H$32</t>
  </si>
  <si>
    <t>$H$33</t>
  </si>
  <si>
    <t>$H$34</t>
  </si>
  <si>
    <t>$H$35</t>
  </si>
  <si>
    <t>$H$36</t>
  </si>
  <si>
    <t>$H$37</t>
  </si>
  <si>
    <t>$H$38</t>
  </si>
  <si>
    <t>$H$39</t>
  </si>
  <si>
    <t>$H$40</t>
  </si>
  <si>
    <t>$H$41</t>
  </si>
  <si>
    <t>$H$43</t>
  </si>
  <si>
    <t>$H$44</t>
  </si>
  <si>
    <t>$H$45</t>
  </si>
  <si>
    <t>$H$46</t>
  </si>
  <si>
    <t>$H$47</t>
  </si>
  <si>
    <t>$H$48</t>
  </si>
  <si>
    <t>$H$49</t>
  </si>
  <si>
    <t>$H$50</t>
  </si>
  <si>
    <t>$H$51</t>
  </si>
  <si>
    <t>$H$52</t>
  </si>
  <si>
    <t>$H$54</t>
  </si>
  <si>
    <t>$H$55</t>
  </si>
  <si>
    <t>$H$56</t>
  </si>
  <si>
    <t>$H$57</t>
  </si>
  <si>
    <t>$H$58</t>
  </si>
  <si>
    <t>$H$59</t>
  </si>
  <si>
    <t>$H$60</t>
  </si>
  <si>
    <t>$H$61</t>
  </si>
  <si>
    <t>$H$62</t>
  </si>
  <si>
    <t>$H$63</t>
  </si>
  <si>
    <t>$H$66</t>
  </si>
  <si>
    <t>$H$67</t>
  </si>
  <si>
    <t>$H$68</t>
  </si>
  <si>
    <t>$H$69</t>
  </si>
  <si>
    <t>$H$70</t>
  </si>
  <si>
    <t>$H$71</t>
  </si>
  <si>
    <t>$H$72</t>
  </si>
  <si>
    <t>$H$73</t>
  </si>
  <si>
    <t>$H$74</t>
  </si>
  <si>
    <t>$H$75</t>
  </si>
  <si>
    <t>$H$77</t>
  </si>
  <si>
    <t>$H$78</t>
  </si>
  <si>
    <t>$H$79</t>
  </si>
  <si>
    <t>$H$80</t>
  </si>
  <si>
    <t>$H$81</t>
  </si>
  <si>
    <t>$H$82</t>
  </si>
  <si>
    <t>$H$83</t>
  </si>
  <si>
    <t>$H$84</t>
  </si>
  <si>
    <t>$H$85</t>
  </si>
  <si>
    <t>$H$86</t>
  </si>
  <si>
    <t>$H$88</t>
  </si>
  <si>
    <t>$H$89</t>
  </si>
  <si>
    <t>$H$90</t>
  </si>
  <si>
    <t>$H$91</t>
  </si>
  <si>
    <t>$H$92</t>
  </si>
  <si>
    <t>$H$93</t>
  </si>
  <si>
    <t>$H$94</t>
  </si>
  <si>
    <t>$H$95</t>
  </si>
  <si>
    <t>$H$96</t>
  </si>
  <si>
    <t>$H$97</t>
  </si>
  <si>
    <t>&lt;=</t>
  </si>
  <si>
    <t>Land Resource Limit</t>
  </si>
  <si>
    <t>TABLE 5: Resource Caps (MW) — Maximum Solar and Wind Installable Capacity</t>
  </si>
  <si>
    <t>Report Created: 02-05-2026 16:44:18</t>
  </si>
  <si>
    <t>$H$110</t>
  </si>
  <si>
    <t>$H$111</t>
  </si>
  <si>
    <t>$H$112</t>
  </si>
  <si>
    <t>$H$113</t>
  </si>
  <si>
    <t>$H$114</t>
  </si>
  <si>
    <t>$H$115</t>
  </si>
  <si>
    <t>$H$116</t>
  </si>
  <si>
    <t>$H$117</t>
  </si>
  <si>
    <t>$H$118</t>
  </si>
  <si>
    <t>$H$119</t>
  </si>
  <si>
    <t>$H$99</t>
  </si>
  <si>
    <t>$H$100</t>
  </si>
  <si>
    <t>$H$101</t>
  </si>
  <si>
    <t>$H$102</t>
  </si>
  <si>
    <t>$H$103</t>
  </si>
  <si>
    <t>$H$104</t>
  </si>
  <si>
    <t>$H$105</t>
  </si>
  <si>
    <t>$H$106</t>
  </si>
  <si>
    <t>$H$107</t>
  </si>
  <si>
    <t>$H$108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</si>
</sst>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3" fontId="0" fillId="5" borderId="7" xfId="0" applyNumberForma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3" fontId="0" fillId="5" borderId="8" xfId="0" applyNumberFormat="1" applyFill="1" applyBorder="1" applyAlignment="1">
      <alignment horizontal="center" vertical="center" wrapText="1"/>
    </xf>
    <xf numFmtId="3" fontId="0" fillId="5" borderId="6" xfId="0" applyNumberForma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3" fontId="0" fillId="5" borderId="6" xfId="0" applyNumberFormat="1" applyFill="1" applyBorder="1" applyAlignment="1">
      <alignment horizontal="center"/>
    </xf>
    <xf numFmtId="3" fontId="0" fillId="5" borderId="7" xfId="0" applyNumberFormat="1" applyFill="1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6" borderId="1" xfId="0" applyFont="1" applyFill="1" applyBorder="1"/>
    <xf numFmtId="0" fontId="1" fillId="6" borderId="6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1" fillId="0" borderId="0" xfId="0" applyFont="1"/>
    <xf numFmtId="3" fontId="0" fillId="5" borderId="8" xfId="0" applyNumberFormat="1" applyFill="1" applyBorder="1" applyAlignment="1">
      <alignment horizontal="center"/>
    </xf>
    <xf numFmtId="0" fontId="0" fillId="0" borderId="9" xfId="0" applyBorder="1" applyAlignment="1">
      <alignment horizontal="right"/>
    </xf>
    <xf numFmtId="3" fontId="0" fillId="0" borderId="6" xfId="0" applyNumberForma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0" fillId="0" borderId="18" xfId="0" applyFill="1" applyBorder="1" applyAlignment="1"/>
    <xf numFmtId="0" fontId="0" fillId="0" borderId="19" xfId="0" applyFill="1" applyBorder="1" applyAlignment="1"/>
    <xf numFmtId="0" fontId="5" fillId="0" borderId="16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zoomScaleNormal="100" workbookViewId="0">
      <selection activeCell="A69" sqref="A69:C69"/>
    </sheetView>
  </sheetViews>
  <sheetFormatPr defaultRowHeight="14.4" x14ac:dyDescent="0.3"/>
  <cols>
    <col min="1" max="1" width="19.6640625" customWidth="1"/>
    <col min="2" max="2" width="12.88671875" customWidth="1"/>
    <col min="3" max="3" width="13.5546875" customWidth="1"/>
  </cols>
  <sheetData>
    <row r="2" spans="1:5" ht="18" x14ac:dyDescent="0.3">
      <c r="A2" s="87" t="s">
        <v>0</v>
      </c>
      <c r="B2" s="88"/>
      <c r="C2" s="89"/>
      <c r="D2" s="1"/>
      <c r="E2" s="1"/>
    </row>
    <row r="3" spans="1:5" x14ac:dyDescent="0.3">
      <c r="A3" s="10"/>
      <c r="B3" s="10"/>
      <c r="C3" s="10"/>
      <c r="D3" s="10"/>
      <c r="E3" s="10"/>
    </row>
    <row r="4" spans="1:5" x14ac:dyDescent="0.3">
      <c r="A4" s="84" t="s">
        <v>1</v>
      </c>
      <c r="B4" s="85"/>
      <c r="C4" s="86"/>
      <c r="D4" s="2"/>
      <c r="E4" s="10"/>
    </row>
    <row r="5" spans="1:5" x14ac:dyDescent="0.3">
      <c r="A5" s="10"/>
      <c r="B5" s="10"/>
      <c r="C5" s="10"/>
      <c r="D5" s="10"/>
      <c r="E5" s="10"/>
    </row>
    <row r="6" spans="1:5" ht="21" customHeight="1" x14ac:dyDescent="0.3">
      <c r="A6" s="68" t="s">
        <v>2</v>
      </c>
      <c r="B6" s="68" t="s">
        <v>3</v>
      </c>
      <c r="C6" s="68" t="s">
        <v>4</v>
      </c>
      <c r="D6" s="10"/>
      <c r="E6" s="10"/>
    </row>
    <row r="7" spans="1:5" x14ac:dyDescent="0.3">
      <c r="A7" s="69">
        <v>1</v>
      </c>
      <c r="B7" s="69" t="s">
        <v>5</v>
      </c>
      <c r="C7" s="71">
        <v>28000</v>
      </c>
      <c r="D7" s="10"/>
      <c r="E7" s="10"/>
    </row>
    <row r="8" spans="1:5" x14ac:dyDescent="0.3">
      <c r="A8" s="69">
        <v>2</v>
      </c>
      <c r="B8" s="69" t="s">
        <v>6</v>
      </c>
      <c r="C8" s="71">
        <v>32000</v>
      </c>
      <c r="D8" s="10"/>
      <c r="E8" s="10"/>
    </row>
    <row r="9" spans="1:5" x14ac:dyDescent="0.3">
      <c r="A9" s="69">
        <v>3</v>
      </c>
      <c r="B9" s="69" t="s">
        <v>7</v>
      </c>
      <c r="C9" s="71">
        <v>20000</v>
      </c>
      <c r="D9" s="10"/>
      <c r="E9" s="10"/>
    </row>
    <row r="10" spans="1:5" x14ac:dyDescent="0.3">
      <c r="A10" s="69">
        <v>4</v>
      </c>
      <c r="B10" s="69" t="s">
        <v>8</v>
      </c>
      <c r="C10" s="71">
        <v>22000</v>
      </c>
      <c r="D10" s="10"/>
      <c r="E10" s="10"/>
    </row>
    <row r="11" spans="1:5" x14ac:dyDescent="0.3">
      <c r="A11" s="69">
        <v>5</v>
      </c>
      <c r="B11" s="69" t="s">
        <v>9</v>
      </c>
      <c r="C11" s="71">
        <v>19000</v>
      </c>
      <c r="D11" s="10"/>
      <c r="E11" s="10"/>
    </row>
    <row r="12" spans="1:5" x14ac:dyDescent="0.3">
      <c r="A12" s="69">
        <v>6</v>
      </c>
      <c r="B12" s="69" t="s">
        <v>10</v>
      </c>
      <c r="C12" s="71">
        <v>15000</v>
      </c>
      <c r="D12" s="10"/>
      <c r="E12" s="10"/>
    </row>
    <row r="13" spans="1:5" x14ac:dyDescent="0.3">
      <c r="A13" s="69">
        <v>7</v>
      </c>
      <c r="B13" s="69" t="s">
        <v>11</v>
      </c>
      <c r="C13" s="71">
        <v>14500</v>
      </c>
      <c r="D13" s="10"/>
      <c r="E13" s="10"/>
    </row>
    <row r="14" spans="1:5" x14ac:dyDescent="0.3">
      <c r="A14" s="69">
        <v>8</v>
      </c>
      <c r="B14" s="69" t="s">
        <v>12</v>
      </c>
      <c r="C14" s="71">
        <v>13000</v>
      </c>
      <c r="D14" s="10"/>
      <c r="E14" s="10"/>
    </row>
    <row r="15" spans="1:5" ht="15" customHeight="1" x14ac:dyDescent="0.3">
      <c r="A15" s="69">
        <v>9</v>
      </c>
      <c r="B15" s="69" t="s">
        <v>13</v>
      </c>
      <c r="C15" s="71">
        <v>2000</v>
      </c>
      <c r="D15" s="10"/>
      <c r="E15" s="10"/>
    </row>
    <row r="16" spans="1:5" x14ac:dyDescent="0.3">
      <c r="A16" s="70">
        <v>10</v>
      </c>
      <c r="B16" s="70" t="s">
        <v>14</v>
      </c>
      <c r="C16" s="72">
        <v>2500</v>
      </c>
      <c r="D16" s="10"/>
      <c r="E16" s="10"/>
    </row>
    <row r="20" spans="1:6" ht="18" x14ac:dyDescent="0.3">
      <c r="A20" s="87" t="s">
        <v>15</v>
      </c>
      <c r="B20" s="88"/>
      <c r="C20" s="88"/>
      <c r="D20" s="88"/>
      <c r="E20" s="88"/>
      <c r="F20" s="89"/>
    </row>
    <row r="21" spans="1:6" x14ac:dyDescent="0.3">
      <c r="A21" s="10"/>
      <c r="B21" s="10"/>
      <c r="C21" s="10"/>
      <c r="D21" s="10"/>
      <c r="E21" s="10"/>
      <c r="F21" s="10"/>
    </row>
    <row r="22" spans="1:6" x14ac:dyDescent="0.3">
      <c r="A22" s="84" t="s">
        <v>63</v>
      </c>
      <c r="B22" s="85"/>
      <c r="C22" s="85"/>
      <c r="D22" s="85"/>
      <c r="E22" s="85"/>
      <c r="F22" s="86"/>
    </row>
    <row r="23" spans="1:6" x14ac:dyDescent="0.3">
      <c r="A23" s="10"/>
      <c r="B23" s="10"/>
      <c r="C23" s="10"/>
      <c r="D23" s="10"/>
      <c r="E23" s="10"/>
      <c r="F23" s="10"/>
    </row>
    <row r="24" spans="1:6" x14ac:dyDescent="0.3">
      <c r="A24" s="68" t="s">
        <v>3</v>
      </c>
      <c r="B24" s="68" t="s">
        <v>16</v>
      </c>
      <c r="C24" s="68" t="s">
        <v>17</v>
      </c>
      <c r="D24" s="68" t="s">
        <v>18</v>
      </c>
      <c r="E24" s="68" t="s">
        <v>19</v>
      </c>
      <c r="F24" s="68" t="s">
        <v>20</v>
      </c>
    </row>
    <row r="25" spans="1:6" x14ac:dyDescent="0.3">
      <c r="A25" s="69" t="s">
        <v>5</v>
      </c>
      <c r="B25" s="69">
        <v>0.2</v>
      </c>
      <c r="C25" s="69">
        <v>0.1</v>
      </c>
      <c r="D25" s="69">
        <v>0.1</v>
      </c>
      <c r="E25" s="69">
        <v>0.7</v>
      </c>
      <c r="F25" s="69">
        <v>0.85</v>
      </c>
    </row>
    <row r="26" spans="1:6" x14ac:dyDescent="0.3">
      <c r="A26" s="69" t="s">
        <v>6</v>
      </c>
      <c r="B26" s="69">
        <v>0.22</v>
      </c>
      <c r="C26" s="69">
        <v>0.25</v>
      </c>
      <c r="D26" s="69">
        <v>0.15</v>
      </c>
      <c r="E26" s="69">
        <v>0.7</v>
      </c>
      <c r="F26" s="69">
        <v>0.85</v>
      </c>
    </row>
    <row r="27" spans="1:6" x14ac:dyDescent="0.3">
      <c r="A27" s="69" t="s">
        <v>7</v>
      </c>
      <c r="B27" s="69">
        <v>0.2</v>
      </c>
      <c r="C27" s="69">
        <v>0.3</v>
      </c>
      <c r="D27" s="69">
        <v>0.1</v>
      </c>
      <c r="E27" s="69">
        <v>0.7</v>
      </c>
      <c r="F27" s="69">
        <v>0.85</v>
      </c>
    </row>
    <row r="28" spans="1:6" x14ac:dyDescent="0.3">
      <c r="A28" s="69" t="s">
        <v>8</v>
      </c>
      <c r="B28" s="69">
        <v>0.23</v>
      </c>
      <c r="C28" s="69">
        <v>0.28000000000000003</v>
      </c>
      <c r="D28" s="69">
        <v>0.08</v>
      </c>
      <c r="E28" s="69">
        <v>0.7</v>
      </c>
      <c r="F28" s="69">
        <v>0.85</v>
      </c>
    </row>
    <row r="29" spans="1:6" x14ac:dyDescent="0.3">
      <c r="A29" s="69" t="s">
        <v>9</v>
      </c>
      <c r="B29" s="69">
        <v>0.25</v>
      </c>
      <c r="C29" s="69">
        <v>0.15</v>
      </c>
      <c r="D29" s="69">
        <v>0.05</v>
      </c>
      <c r="E29" s="69">
        <v>0.7</v>
      </c>
      <c r="F29" s="69">
        <v>0.85</v>
      </c>
    </row>
    <row r="30" spans="1:6" x14ac:dyDescent="0.3">
      <c r="A30" s="69" t="s">
        <v>10</v>
      </c>
      <c r="B30" s="69">
        <v>0.22</v>
      </c>
      <c r="C30" s="69">
        <v>0.2</v>
      </c>
      <c r="D30" s="69">
        <v>0.12</v>
      </c>
      <c r="E30" s="69">
        <v>0.7</v>
      </c>
      <c r="F30" s="69">
        <v>0.85</v>
      </c>
    </row>
    <row r="31" spans="1:6" x14ac:dyDescent="0.3">
      <c r="A31" s="69" t="s">
        <v>11</v>
      </c>
      <c r="B31" s="69">
        <v>0.22</v>
      </c>
      <c r="C31" s="69">
        <v>0.25</v>
      </c>
      <c r="D31" s="69">
        <v>0.3</v>
      </c>
      <c r="E31" s="69">
        <v>0.7</v>
      </c>
      <c r="F31" s="69">
        <v>0.85</v>
      </c>
    </row>
    <row r="32" spans="1:6" x14ac:dyDescent="0.3">
      <c r="A32" s="69" t="s">
        <v>12</v>
      </c>
      <c r="B32" s="69">
        <v>0.22</v>
      </c>
      <c r="C32" s="69">
        <v>0.28000000000000003</v>
      </c>
      <c r="D32" s="69">
        <v>0.15</v>
      </c>
      <c r="E32" s="69">
        <v>0.7</v>
      </c>
      <c r="F32" s="69">
        <v>0.85</v>
      </c>
    </row>
    <row r="33" spans="1:6" x14ac:dyDescent="0.3">
      <c r="A33" s="69" t="s">
        <v>13</v>
      </c>
      <c r="B33" s="69">
        <v>0.18</v>
      </c>
      <c r="C33" s="69">
        <v>0.12</v>
      </c>
      <c r="D33" s="69">
        <v>0.45</v>
      </c>
      <c r="E33" s="69">
        <v>0.7</v>
      </c>
      <c r="F33" s="69">
        <v>0.85</v>
      </c>
    </row>
    <row r="34" spans="1:6" x14ac:dyDescent="0.3">
      <c r="A34" s="70" t="s">
        <v>14</v>
      </c>
      <c r="B34" s="70">
        <v>0.17</v>
      </c>
      <c r="C34" s="70">
        <v>0.1</v>
      </c>
      <c r="D34" s="70">
        <v>0.35</v>
      </c>
      <c r="E34" s="70">
        <v>0.7</v>
      </c>
      <c r="F34" s="70">
        <v>0.85</v>
      </c>
    </row>
    <row r="35" spans="1:6" x14ac:dyDescent="0.3">
      <c r="A35" s="10"/>
      <c r="B35" s="10"/>
      <c r="C35" s="10"/>
      <c r="D35" s="10"/>
      <c r="E35" s="10"/>
      <c r="F35" s="10"/>
    </row>
    <row r="39" spans="1:6" ht="18" x14ac:dyDescent="0.3">
      <c r="A39" s="1" t="s">
        <v>21</v>
      </c>
    </row>
    <row r="41" spans="1:6" x14ac:dyDescent="0.3">
      <c r="A41" s="2" t="s">
        <v>22</v>
      </c>
    </row>
    <row r="43" spans="1:6" ht="57.6" x14ac:dyDescent="0.3">
      <c r="A43" s="4" t="s">
        <v>23</v>
      </c>
      <c r="B43" s="4" t="s">
        <v>24</v>
      </c>
      <c r="C43" s="4" t="s">
        <v>25</v>
      </c>
    </row>
    <row r="44" spans="1:6" ht="57.6" x14ac:dyDescent="0.3">
      <c r="A44" s="5" t="s">
        <v>16</v>
      </c>
      <c r="B44" s="6">
        <v>55000</v>
      </c>
      <c r="C44" s="5" t="s">
        <v>26</v>
      </c>
    </row>
    <row r="45" spans="1:6" ht="57.6" x14ac:dyDescent="0.3">
      <c r="A45" s="5" t="s">
        <v>17</v>
      </c>
      <c r="B45" s="6">
        <v>65000</v>
      </c>
      <c r="C45" s="5" t="s">
        <v>27</v>
      </c>
    </row>
    <row r="46" spans="1:6" ht="57.6" x14ac:dyDescent="0.3">
      <c r="A46" s="5" t="s">
        <v>18</v>
      </c>
      <c r="B46" s="6">
        <v>80000</v>
      </c>
      <c r="C46" s="5" t="s">
        <v>28</v>
      </c>
    </row>
    <row r="47" spans="1:6" ht="57.6" x14ac:dyDescent="0.3">
      <c r="A47" s="5" t="s">
        <v>19</v>
      </c>
      <c r="B47" s="6">
        <v>45000</v>
      </c>
      <c r="C47" s="5" t="s">
        <v>29</v>
      </c>
    </row>
    <row r="48" spans="1:6" ht="57.6" x14ac:dyDescent="0.3">
      <c r="A48" s="5" t="s">
        <v>20</v>
      </c>
      <c r="B48" s="6">
        <v>30000</v>
      </c>
      <c r="C48" s="5" t="s">
        <v>30</v>
      </c>
    </row>
    <row r="53" spans="1:3" ht="18" x14ac:dyDescent="0.3">
      <c r="A53" s="1" t="s">
        <v>31</v>
      </c>
    </row>
    <row r="55" spans="1:3" x14ac:dyDescent="0.3">
      <c r="A55" s="2" t="s">
        <v>32</v>
      </c>
    </row>
    <row r="57" spans="1:3" ht="28.8" x14ac:dyDescent="0.3">
      <c r="A57" s="4" t="s">
        <v>23</v>
      </c>
      <c r="B57" s="4" t="s">
        <v>33</v>
      </c>
      <c r="C57" s="4" t="s">
        <v>34</v>
      </c>
    </row>
    <row r="58" spans="1:3" x14ac:dyDescent="0.3">
      <c r="A58" s="5" t="s">
        <v>16</v>
      </c>
      <c r="B58" s="5">
        <v>0</v>
      </c>
      <c r="C58" s="7">
        <v>0</v>
      </c>
    </row>
    <row r="59" spans="1:3" x14ac:dyDescent="0.3">
      <c r="A59" s="5" t="s">
        <v>17</v>
      </c>
      <c r="B59" s="5">
        <v>0</v>
      </c>
      <c r="C59" s="7">
        <v>0</v>
      </c>
    </row>
    <row r="60" spans="1:3" x14ac:dyDescent="0.3">
      <c r="A60" s="5" t="s">
        <v>18</v>
      </c>
      <c r="B60" s="5">
        <v>0</v>
      </c>
      <c r="C60" s="7">
        <v>0</v>
      </c>
    </row>
    <row r="61" spans="1:3" x14ac:dyDescent="0.3">
      <c r="A61" s="5" t="s">
        <v>19</v>
      </c>
      <c r="B61" s="5">
        <v>0.82</v>
      </c>
      <c r="C61" s="8">
        <v>5010</v>
      </c>
    </row>
    <row r="62" spans="1:3" x14ac:dyDescent="0.3">
      <c r="A62" s="5" t="s">
        <v>20</v>
      </c>
      <c r="B62" s="5">
        <v>0.4</v>
      </c>
      <c r="C62" s="8">
        <v>2978</v>
      </c>
    </row>
    <row r="67" spans="1:12" ht="54.6" customHeight="1" x14ac:dyDescent="0.3">
      <c r="A67" s="90" t="s">
        <v>263</v>
      </c>
      <c r="B67" s="91"/>
      <c r="C67" s="92"/>
      <c r="D67" s="77"/>
      <c r="E67" s="77"/>
    </row>
    <row r="69" spans="1:12" ht="29.4" customHeight="1" x14ac:dyDescent="0.3">
      <c r="A69" s="81" t="s">
        <v>35</v>
      </c>
      <c r="B69" s="82"/>
      <c r="C69" s="83"/>
    </row>
    <row r="71" spans="1:12" x14ac:dyDescent="0.3">
      <c r="A71" s="78" t="s">
        <v>3</v>
      </c>
      <c r="B71" s="68" t="s">
        <v>16</v>
      </c>
      <c r="C71" s="68" t="s">
        <v>17</v>
      </c>
      <c r="J71" s="4" t="s">
        <v>18</v>
      </c>
      <c r="K71" s="4" t="s">
        <v>19</v>
      </c>
      <c r="L71" s="4" t="s">
        <v>20</v>
      </c>
    </row>
    <row r="72" spans="1:12" x14ac:dyDescent="0.3">
      <c r="A72" s="79" t="s">
        <v>5</v>
      </c>
      <c r="B72" s="71">
        <v>40000</v>
      </c>
      <c r="C72" s="71">
        <v>5000</v>
      </c>
      <c r="J72" s="6">
        <v>1000</v>
      </c>
      <c r="K72" s="6">
        <v>30000</v>
      </c>
      <c r="L72" s="6">
        <v>15000</v>
      </c>
    </row>
    <row r="73" spans="1:12" x14ac:dyDescent="0.3">
      <c r="A73" s="79" t="s">
        <v>6</v>
      </c>
      <c r="B73" s="71">
        <v>30000</v>
      </c>
      <c r="C73" s="71">
        <v>10000</v>
      </c>
      <c r="J73" s="6">
        <v>3500</v>
      </c>
      <c r="K73" s="6">
        <v>20000</v>
      </c>
      <c r="L73" s="6">
        <v>20000</v>
      </c>
    </row>
    <row r="74" spans="1:12" x14ac:dyDescent="0.3">
      <c r="A74" s="79" t="s">
        <v>7</v>
      </c>
      <c r="B74" s="71">
        <v>20000</v>
      </c>
      <c r="C74" s="71">
        <v>35000</v>
      </c>
      <c r="J74" s="6">
        <v>2000</v>
      </c>
      <c r="K74" s="6">
        <v>10000</v>
      </c>
      <c r="L74" s="6">
        <v>15000</v>
      </c>
    </row>
    <row r="75" spans="1:12" x14ac:dyDescent="0.3">
      <c r="A75" s="79" t="s">
        <v>8</v>
      </c>
      <c r="B75" s="71">
        <v>40000</v>
      </c>
      <c r="C75" s="71">
        <v>30000</v>
      </c>
      <c r="J75" s="5">
        <v>500</v>
      </c>
      <c r="K75" s="6">
        <v>15000</v>
      </c>
      <c r="L75" s="6">
        <v>20000</v>
      </c>
    </row>
    <row r="76" spans="1:12" x14ac:dyDescent="0.3">
      <c r="A76" s="79" t="s">
        <v>9</v>
      </c>
      <c r="B76" s="71">
        <v>75000</v>
      </c>
      <c r="C76" s="71">
        <v>10000</v>
      </c>
      <c r="J76" s="5">
        <v>500</v>
      </c>
      <c r="K76" s="6">
        <v>20000</v>
      </c>
      <c r="L76" s="6">
        <v>15000</v>
      </c>
    </row>
    <row r="77" spans="1:12" x14ac:dyDescent="0.3">
      <c r="A77" s="79" t="s">
        <v>10</v>
      </c>
      <c r="B77" s="71">
        <v>35000</v>
      </c>
      <c r="C77" s="71">
        <v>8000</v>
      </c>
      <c r="J77" s="6">
        <v>2000</v>
      </c>
      <c r="K77" s="6">
        <v>20000</v>
      </c>
      <c r="L77" s="6">
        <v>10000</v>
      </c>
    </row>
    <row r="78" spans="1:12" x14ac:dyDescent="0.3">
      <c r="A78" s="79" t="s">
        <v>11</v>
      </c>
      <c r="B78" s="71">
        <v>25000</v>
      </c>
      <c r="C78" s="71">
        <v>15000</v>
      </c>
      <c r="J78" s="6">
        <v>5000</v>
      </c>
      <c r="K78" s="6">
        <v>10000</v>
      </c>
      <c r="L78" s="6">
        <v>10000</v>
      </c>
    </row>
    <row r="79" spans="1:12" x14ac:dyDescent="0.3">
      <c r="A79" s="79" t="s">
        <v>12</v>
      </c>
      <c r="B79" s="71">
        <v>30000</v>
      </c>
      <c r="C79" s="71">
        <v>20000</v>
      </c>
      <c r="J79" s="6">
        <v>2000</v>
      </c>
      <c r="K79" s="6">
        <v>15000</v>
      </c>
      <c r="L79" s="6">
        <v>15000</v>
      </c>
    </row>
    <row r="80" spans="1:12" x14ac:dyDescent="0.3">
      <c r="A80" s="79" t="s">
        <v>13</v>
      </c>
      <c r="B80" s="71">
        <v>2000</v>
      </c>
      <c r="C80" s="71">
        <v>1000</v>
      </c>
      <c r="J80" s="6">
        <v>10000</v>
      </c>
      <c r="K80" s="6">
        <v>1000</v>
      </c>
      <c r="L80" s="6">
        <v>2000</v>
      </c>
    </row>
    <row r="81" spans="1:12" x14ac:dyDescent="0.3">
      <c r="A81" s="80" t="s">
        <v>14</v>
      </c>
      <c r="B81" s="72">
        <v>3000</v>
      </c>
      <c r="C81" s="72">
        <v>1000</v>
      </c>
      <c r="J81" s="6">
        <v>5000</v>
      </c>
      <c r="K81" s="6">
        <v>5000</v>
      </c>
      <c r="L81" s="6">
        <v>5000</v>
      </c>
    </row>
    <row r="85" spans="1:12" ht="18" x14ac:dyDescent="0.3">
      <c r="A85" s="1" t="s">
        <v>39</v>
      </c>
    </row>
    <row r="87" spans="1:12" x14ac:dyDescent="0.3">
      <c r="A87" s="2" t="s">
        <v>40</v>
      </c>
    </row>
    <row r="89" spans="1:12" ht="43.2" x14ac:dyDescent="0.3">
      <c r="A89" s="4" t="s">
        <v>3</v>
      </c>
      <c r="B89" s="4" t="s">
        <v>41</v>
      </c>
      <c r="C89" s="4" t="s">
        <v>42</v>
      </c>
      <c r="D89" s="4" t="s">
        <v>43</v>
      </c>
    </row>
    <row r="90" spans="1:12" x14ac:dyDescent="0.3">
      <c r="A90" s="5" t="s">
        <v>5</v>
      </c>
      <c r="B90" s="6">
        <v>22000</v>
      </c>
      <c r="C90" s="6">
        <v>2000</v>
      </c>
      <c r="D90" s="5">
        <v>500</v>
      </c>
    </row>
    <row r="91" spans="1:12" x14ac:dyDescent="0.3">
      <c r="A91" s="5" t="s">
        <v>6</v>
      </c>
      <c r="B91" s="6">
        <v>15000</v>
      </c>
      <c r="C91" s="6">
        <v>5000</v>
      </c>
      <c r="D91" s="6">
        <v>1000</v>
      </c>
    </row>
    <row r="92" spans="1:12" x14ac:dyDescent="0.3">
      <c r="A92" s="5" t="s">
        <v>7</v>
      </c>
      <c r="B92" s="6">
        <v>10000</v>
      </c>
      <c r="C92" s="6">
        <v>12000</v>
      </c>
      <c r="D92" s="5">
        <v>500</v>
      </c>
    </row>
    <row r="93" spans="1:12" x14ac:dyDescent="0.3">
      <c r="A93" s="5" t="s">
        <v>8</v>
      </c>
      <c r="B93" s="6">
        <v>30000</v>
      </c>
      <c r="C93" s="6">
        <v>15000</v>
      </c>
      <c r="D93" s="5">
        <v>200</v>
      </c>
    </row>
    <row r="94" spans="1:12" x14ac:dyDescent="0.3">
      <c r="A94" s="5" t="s">
        <v>9</v>
      </c>
      <c r="B94" s="6">
        <v>40000</v>
      </c>
      <c r="C94" s="6">
        <v>8000</v>
      </c>
      <c r="D94" s="5">
        <v>200</v>
      </c>
    </row>
    <row r="95" spans="1:12" x14ac:dyDescent="0.3">
      <c r="A95" s="5" t="s">
        <v>10</v>
      </c>
      <c r="B95" s="6">
        <v>10000</v>
      </c>
      <c r="C95" s="6">
        <v>3000</v>
      </c>
      <c r="D95" s="5">
        <v>500</v>
      </c>
    </row>
    <row r="96" spans="1:12" x14ac:dyDescent="0.3">
      <c r="A96" s="5" t="s">
        <v>11</v>
      </c>
      <c r="B96" s="6">
        <v>12000</v>
      </c>
      <c r="C96" s="6">
        <v>6000</v>
      </c>
      <c r="D96" s="6">
        <v>2000</v>
      </c>
    </row>
    <row r="97" spans="1:4" x14ac:dyDescent="0.3">
      <c r="A97" s="5" t="s">
        <v>12</v>
      </c>
      <c r="B97" s="6">
        <v>12000</v>
      </c>
      <c r="C97" s="6">
        <v>8000</v>
      </c>
      <c r="D97" s="5">
        <v>500</v>
      </c>
    </row>
    <row r="98" spans="1:4" x14ac:dyDescent="0.3">
      <c r="A98" s="5" t="s">
        <v>13</v>
      </c>
      <c r="B98" s="5">
        <v>800</v>
      </c>
      <c r="C98" s="5">
        <v>400</v>
      </c>
      <c r="D98" s="6">
        <v>4000</v>
      </c>
    </row>
    <row r="99" spans="1:4" x14ac:dyDescent="0.3">
      <c r="A99" s="5" t="s">
        <v>14</v>
      </c>
      <c r="B99" s="5">
        <v>500</v>
      </c>
      <c r="C99" s="5">
        <v>200</v>
      </c>
      <c r="D99" s="6">
        <v>1500</v>
      </c>
    </row>
    <row r="103" spans="1:4" ht="18" x14ac:dyDescent="0.3">
      <c r="A103" s="1" t="s">
        <v>44</v>
      </c>
    </row>
    <row r="105" spans="1:4" x14ac:dyDescent="0.3">
      <c r="A105" s="2" t="s">
        <v>45</v>
      </c>
    </row>
    <row r="107" spans="1:4" ht="43.2" x14ac:dyDescent="0.3">
      <c r="A107" s="4" t="s">
        <v>3</v>
      </c>
      <c r="B107" s="4" t="s">
        <v>46</v>
      </c>
      <c r="C107" s="4" t="s">
        <v>47</v>
      </c>
    </row>
    <row r="108" spans="1:4" x14ac:dyDescent="0.3">
      <c r="A108" s="5" t="s">
        <v>5</v>
      </c>
      <c r="B108" s="6">
        <v>18000</v>
      </c>
      <c r="C108" s="8">
        <v>5400</v>
      </c>
    </row>
    <row r="109" spans="1:4" x14ac:dyDescent="0.3">
      <c r="A109" s="5" t="s">
        <v>6</v>
      </c>
      <c r="B109" s="6">
        <v>16000</v>
      </c>
      <c r="C109" s="8">
        <v>4800</v>
      </c>
    </row>
    <row r="110" spans="1:4" x14ac:dyDescent="0.3">
      <c r="A110" s="5" t="s">
        <v>7</v>
      </c>
      <c r="B110" s="6">
        <v>8000</v>
      </c>
      <c r="C110" s="8">
        <v>2400</v>
      </c>
    </row>
    <row r="111" spans="1:4" x14ac:dyDescent="0.3">
      <c r="A111" s="5" t="s">
        <v>8</v>
      </c>
      <c r="B111" s="6">
        <v>9000</v>
      </c>
      <c r="C111" s="8">
        <v>2700</v>
      </c>
    </row>
    <row r="112" spans="1:4" x14ac:dyDescent="0.3">
      <c r="A112" s="5" t="s">
        <v>9</v>
      </c>
      <c r="B112" s="6">
        <v>7000</v>
      </c>
      <c r="C112" s="8">
        <v>2100</v>
      </c>
    </row>
    <row r="113" spans="1:3" x14ac:dyDescent="0.3">
      <c r="A113" s="5" t="s">
        <v>10</v>
      </c>
      <c r="B113" s="6">
        <v>8500</v>
      </c>
      <c r="C113" s="8">
        <v>2550</v>
      </c>
    </row>
    <row r="114" spans="1:3" x14ac:dyDescent="0.3">
      <c r="A114" s="5" t="s">
        <v>11</v>
      </c>
      <c r="B114" s="6">
        <v>4000</v>
      </c>
      <c r="C114" s="8">
        <v>1200</v>
      </c>
    </row>
    <row r="115" spans="1:3" x14ac:dyDescent="0.3">
      <c r="A115" s="5" t="s">
        <v>12</v>
      </c>
      <c r="B115" s="6">
        <v>7500</v>
      </c>
      <c r="C115" s="8">
        <v>2250</v>
      </c>
    </row>
    <row r="116" spans="1:3" x14ac:dyDescent="0.3">
      <c r="A116" s="5" t="s">
        <v>13</v>
      </c>
      <c r="B116" s="5">
        <v>0</v>
      </c>
      <c r="C116" s="7">
        <v>0</v>
      </c>
    </row>
    <row r="117" spans="1:3" x14ac:dyDescent="0.3">
      <c r="A117" s="5" t="s">
        <v>14</v>
      </c>
      <c r="B117" s="5">
        <v>500</v>
      </c>
      <c r="C117" s="7">
        <v>150</v>
      </c>
    </row>
  </sheetData>
  <mergeCells count="6">
    <mergeCell ref="A69:C69"/>
    <mergeCell ref="A22:F22"/>
    <mergeCell ref="A2:C2"/>
    <mergeCell ref="A4:C4"/>
    <mergeCell ref="A20:F20"/>
    <mergeCell ref="A67:C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F793-AF11-4534-AACE-4CDACC7EE5B1}">
  <dimension ref="A1:K152"/>
  <sheetViews>
    <sheetView tabSelected="1" zoomScaleNormal="100" workbookViewId="0">
      <selection activeCell="M15" sqref="M15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9" t="s">
        <v>16</v>
      </c>
      <c r="D4" s="20" t="s">
        <v>17</v>
      </c>
      <c r="E4" s="20" t="s">
        <v>18</v>
      </c>
      <c r="F4" s="20" t="s">
        <v>19</v>
      </c>
      <c r="G4" s="67" t="s">
        <v>20</v>
      </c>
      <c r="H4" s="10"/>
      <c r="I4" s="10"/>
      <c r="K4" s="10"/>
    </row>
    <row r="5" spans="1:11" x14ac:dyDescent="0.3">
      <c r="B5" s="16" t="s">
        <v>5</v>
      </c>
      <c r="C5" s="24">
        <v>22000</v>
      </c>
      <c r="D5" s="25">
        <v>2000</v>
      </c>
      <c r="E5" s="25">
        <v>500</v>
      </c>
      <c r="F5" s="25">
        <v>5400</v>
      </c>
      <c r="G5" s="26">
        <v>23023.529411764703</v>
      </c>
      <c r="H5" s="10"/>
      <c r="I5" s="10"/>
      <c r="K5" s="10"/>
    </row>
    <row r="6" spans="1:11" x14ac:dyDescent="0.3">
      <c r="B6" s="17" t="s">
        <v>6</v>
      </c>
      <c r="C6" s="27">
        <v>15000</v>
      </c>
      <c r="D6" s="28">
        <v>5000</v>
      </c>
      <c r="E6" s="28">
        <v>1000</v>
      </c>
      <c r="F6" s="28">
        <v>4800.0000000000036</v>
      </c>
      <c r="G6" s="29">
        <v>28164.705882352937</v>
      </c>
      <c r="H6" s="10"/>
      <c r="I6" s="10"/>
      <c r="K6" s="10"/>
    </row>
    <row r="7" spans="1:11" x14ac:dyDescent="0.3">
      <c r="B7" s="17" t="s">
        <v>7</v>
      </c>
      <c r="C7" s="27">
        <v>10000</v>
      </c>
      <c r="D7" s="28">
        <v>12000</v>
      </c>
      <c r="E7" s="28">
        <v>500</v>
      </c>
      <c r="F7" s="28">
        <v>2400</v>
      </c>
      <c r="G7" s="29">
        <v>14905.882352941175</v>
      </c>
      <c r="H7" s="10"/>
      <c r="I7" s="10"/>
      <c r="K7" s="10"/>
    </row>
    <row r="8" spans="1:11" x14ac:dyDescent="0.3">
      <c r="B8" s="17" t="s">
        <v>8</v>
      </c>
      <c r="C8" s="27">
        <v>30000</v>
      </c>
      <c r="D8" s="28">
        <v>15000</v>
      </c>
      <c r="E8" s="28">
        <v>200</v>
      </c>
      <c r="F8" s="28">
        <v>2700</v>
      </c>
      <c r="G8" s="29">
        <v>10581.176470588236</v>
      </c>
      <c r="H8" s="10"/>
      <c r="I8" s="10"/>
      <c r="K8" s="10"/>
    </row>
    <row r="9" spans="1:11" x14ac:dyDescent="0.3">
      <c r="B9" s="17" t="s">
        <v>9</v>
      </c>
      <c r="C9" s="27">
        <v>40000</v>
      </c>
      <c r="D9" s="28">
        <v>8000</v>
      </c>
      <c r="E9" s="28">
        <v>200</v>
      </c>
      <c r="F9" s="28">
        <v>2100</v>
      </c>
      <c r="G9" s="29">
        <v>7435.2941176470567</v>
      </c>
      <c r="H9" s="10"/>
      <c r="I9" s="10"/>
      <c r="K9" s="10"/>
    </row>
    <row r="10" spans="1:11" x14ac:dyDescent="0.3">
      <c r="B10" s="17" t="s">
        <v>10</v>
      </c>
      <c r="C10" s="27">
        <v>10000</v>
      </c>
      <c r="D10" s="28">
        <v>3000</v>
      </c>
      <c r="E10" s="28">
        <v>500</v>
      </c>
      <c r="F10" s="28">
        <v>2550</v>
      </c>
      <c r="G10" s="29">
        <v>12182.352941176472</v>
      </c>
      <c r="H10" s="10"/>
      <c r="I10" s="10"/>
      <c r="K10" s="10"/>
    </row>
    <row r="11" spans="1:11" x14ac:dyDescent="0.3">
      <c r="B11" s="17" t="s">
        <v>11</v>
      </c>
      <c r="C11" s="27">
        <v>12000</v>
      </c>
      <c r="D11" s="28">
        <v>6000</v>
      </c>
      <c r="E11" s="28">
        <v>2000</v>
      </c>
      <c r="F11" s="28">
        <v>1199.9999999999982</v>
      </c>
      <c r="G11" s="29">
        <v>10494.117647058822</v>
      </c>
      <c r="H11" s="10"/>
      <c r="I11" s="10"/>
      <c r="K11" s="10"/>
    </row>
    <row r="12" spans="1:11" x14ac:dyDescent="0.3">
      <c r="B12" s="17" t="s">
        <v>12</v>
      </c>
      <c r="C12" s="27">
        <v>12000</v>
      </c>
      <c r="D12" s="28">
        <v>8000</v>
      </c>
      <c r="E12" s="28">
        <v>500</v>
      </c>
      <c r="F12" s="28">
        <v>2250</v>
      </c>
      <c r="G12" s="29">
        <v>7611.7647058823541</v>
      </c>
      <c r="H12" s="10"/>
      <c r="I12" s="10"/>
      <c r="K12" s="10"/>
    </row>
    <row r="13" spans="1:11" x14ac:dyDescent="0.3">
      <c r="B13" s="17" t="s">
        <v>13</v>
      </c>
      <c r="C13" s="27">
        <v>800</v>
      </c>
      <c r="D13" s="28">
        <v>399.99999999999994</v>
      </c>
      <c r="E13" s="28">
        <v>4000</v>
      </c>
      <c r="F13" s="28">
        <v>9.1304741545172874E-13</v>
      </c>
      <c r="G13" s="29">
        <v>9.4117647058813318</v>
      </c>
      <c r="H13" s="10"/>
      <c r="I13" s="10"/>
      <c r="K13" s="10"/>
    </row>
    <row r="14" spans="1:11" x14ac:dyDescent="0.3">
      <c r="B14" s="18" t="s">
        <v>14</v>
      </c>
      <c r="C14" s="30">
        <v>500</v>
      </c>
      <c r="D14" s="31">
        <v>200</v>
      </c>
      <c r="E14" s="31">
        <v>1500</v>
      </c>
      <c r="F14" s="31">
        <v>150</v>
      </c>
      <c r="G14" s="32">
        <v>2076.4705882352937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8376500000</v>
      </c>
      <c r="D17" s="34">
        <f>SUM(D5:D14)*D18</f>
        <v>3874000000</v>
      </c>
      <c r="E17" s="34">
        <f>SUM(E5:E14)*E18</f>
        <v>872000000</v>
      </c>
      <c r="F17" s="34">
        <f>SUM(F5:F14)*F18</f>
        <v>1059750000</v>
      </c>
      <c r="G17" s="35">
        <f>SUM(G5:G14)*G18</f>
        <v>3494541176.4705887</v>
      </c>
      <c r="H17" s="36">
        <f>SUM(C17:G17)</f>
        <v>17676791176.470589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27999.999999999996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32000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20000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22000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19000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15000.000000000002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14499.999999999996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13000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1999.9999999999998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2499.9999999999995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22000</v>
      </c>
      <c r="D32" s="43">
        <f t="shared" si="1"/>
        <v>2000</v>
      </c>
      <c r="E32" s="43">
        <f t="shared" si="1"/>
        <v>500</v>
      </c>
      <c r="F32" s="43">
        <f t="shared" si="1"/>
        <v>5400</v>
      </c>
      <c r="G32" s="43">
        <f t="shared" si="1"/>
        <v>23023.529411764703</v>
      </c>
      <c r="H32" s="60">
        <f>F32</f>
        <v>5400</v>
      </c>
      <c r="I32" s="10" t="s">
        <v>261</v>
      </c>
      <c r="J32" s="58">
        <f>0.4*SUM(C32:G32)</f>
        <v>21169.411764705881</v>
      </c>
      <c r="K32" s="10"/>
    </row>
    <row r="33" spans="1:11" x14ac:dyDescent="0.3">
      <c r="B33" s="40" t="s">
        <v>6</v>
      </c>
      <c r="C33" s="44">
        <f t="shared" si="1"/>
        <v>15000</v>
      </c>
      <c r="D33" s="3">
        <f t="shared" si="1"/>
        <v>5000</v>
      </c>
      <c r="E33" s="3">
        <f t="shared" si="1"/>
        <v>1000</v>
      </c>
      <c r="F33" s="3">
        <f t="shared" si="1"/>
        <v>4800.0000000000036</v>
      </c>
      <c r="G33" s="3">
        <f t="shared" si="1"/>
        <v>28164.705882352937</v>
      </c>
      <c r="H33" s="61">
        <f t="shared" ref="H33:H41" si="2">F33</f>
        <v>4800.0000000000036</v>
      </c>
      <c r="I33" s="10" t="s">
        <v>261</v>
      </c>
      <c r="J33" s="55">
        <f t="shared" ref="J33:J41" si="3">0.4*SUM(C33:G33)</f>
        <v>21585.882352941175</v>
      </c>
      <c r="K33" s="10"/>
    </row>
    <row r="34" spans="1:11" x14ac:dyDescent="0.3">
      <c r="B34" s="40" t="s">
        <v>7</v>
      </c>
      <c r="C34" s="44">
        <f t="shared" si="1"/>
        <v>10000</v>
      </c>
      <c r="D34" s="3">
        <f t="shared" si="1"/>
        <v>12000</v>
      </c>
      <c r="E34" s="3">
        <f t="shared" si="1"/>
        <v>500</v>
      </c>
      <c r="F34" s="3">
        <f t="shared" si="1"/>
        <v>2400</v>
      </c>
      <c r="G34" s="3">
        <f t="shared" si="1"/>
        <v>14905.882352941175</v>
      </c>
      <c r="H34" s="61">
        <f t="shared" si="2"/>
        <v>2400</v>
      </c>
      <c r="I34" s="10" t="s">
        <v>261</v>
      </c>
      <c r="J34" s="55">
        <f t="shared" si="3"/>
        <v>15922.35294117647</v>
      </c>
      <c r="K34" s="10"/>
    </row>
    <row r="35" spans="1:11" x14ac:dyDescent="0.3">
      <c r="B35" s="40" t="s">
        <v>8</v>
      </c>
      <c r="C35" s="44">
        <f t="shared" si="1"/>
        <v>30000</v>
      </c>
      <c r="D35" s="3">
        <f t="shared" si="1"/>
        <v>15000</v>
      </c>
      <c r="E35" s="3">
        <f t="shared" si="1"/>
        <v>200</v>
      </c>
      <c r="F35" s="3">
        <f t="shared" si="1"/>
        <v>2700</v>
      </c>
      <c r="G35" s="3">
        <f t="shared" si="1"/>
        <v>10581.176470588236</v>
      </c>
      <c r="H35" s="61">
        <f t="shared" si="2"/>
        <v>2700</v>
      </c>
      <c r="I35" s="10" t="s">
        <v>261</v>
      </c>
      <c r="J35" s="55">
        <f t="shared" si="3"/>
        <v>23392.470588235297</v>
      </c>
      <c r="K35" s="10"/>
    </row>
    <row r="36" spans="1:11" x14ac:dyDescent="0.3">
      <c r="B36" s="40" t="s">
        <v>9</v>
      </c>
      <c r="C36" s="44">
        <f t="shared" si="1"/>
        <v>40000</v>
      </c>
      <c r="D36" s="3">
        <f t="shared" si="1"/>
        <v>8000</v>
      </c>
      <c r="E36" s="3">
        <f t="shared" si="1"/>
        <v>200</v>
      </c>
      <c r="F36" s="3">
        <f t="shared" si="1"/>
        <v>2100</v>
      </c>
      <c r="G36" s="3">
        <f t="shared" si="1"/>
        <v>7435.2941176470567</v>
      </c>
      <c r="H36" s="61">
        <f t="shared" si="2"/>
        <v>2100</v>
      </c>
      <c r="I36" s="10" t="s">
        <v>261</v>
      </c>
      <c r="J36" s="55">
        <f t="shared" si="3"/>
        <v>23094.117647058825</v>
      </c>
      <c r="K36" s="10"/>
    </row>
    <row r="37" spans="1:11" x14ac:dyDescent="0.3">
      <c r="B37" s="40" t="s">
        <v>10</v>
      </c>
      <c r="C37" s="44">
        <f t="shared" si="1"/>
        <v>10000</v>
      </c>
      <c r="D37" s="3">
        <f t="shared" si="1"/>
        <v>3000</v>
      </c>
      <c r="E37" s="3">
        <f t="shared" si="1"/>
        <v>500</v>
      </c>
      <c r="F37" s="3">
        <f t="shared" si="1"/>
        <v>2550</v>
      </c>
      <c r="G37" s="3">
        <f t="shared" si="1"/>
        <v>12182.352941176472</v>
      </c>
      <c r="H37" s="61">
        <f t="shared" si="2"/>
        <v>2550</v>
      </c>
      <c r="I37" s="10" t="s">
        <v>261</v>
      </c>
      <c r="J37" s="55">
        <f t="shared" si="3"/>
        <v>11292.941176470589</v>
      </c>
      <c r="K37" s="10"/>
    </row>
    <row r="38" spans="1:11" x14ac:dyDescent="0.3">
      <c r="B38" s="40" t="s">
        <v>11</v>
      </c>
      <c r="C38" s="44">
        <f t="shared" si="1"/>
        <v>12000</v>
      </c>
      <c r="D38" s="3">
        <f t="shared" si="1"/>
        <v>6000</v>
      </c>
      <c r="E38" s="3">
        <f t="shared" si="1"/>
        <v>2000</v>
      </c>
      <c r="F38" s="3">
        <f t="shared" si="1"/>
        <v>1199.9999999999982</v>
      </c>
      <c r="G38" s="3">
        <f t="shared" si="1"/>
        <v>10494.117647058822</v>
      </c>
      <c r="H38" s="61">
        <f t="shared" si="2"/>
        <v>1199.9999999999982</v>
      </c>
      <c r="I38" s="10" t="s">
        <v>261</v>
      </c>
      <c r="J38" s="55">
        <f t="shared" si="3"/>
        <v>12677.64705882353</v>
      </c>
      <c r="K38" s="10"/>
    </row>
    <row r="39" spans="1:11" x14ac:dyDescent="0.3">
      <c r="B39" s="40" t="s">
        <v>12</v>
      </c>
      <c r="C39" s="44">
        <f t="shared" si="1"/>
        <v>12000</v>
      </c>
      <c r="D39" s="3">
        <f t="shared" si="1"/>
        <v>8000</v>
      </c>
      <c r="E39" s="3">
        <f t="shared" si="1"/>
        <v>500</v>
      </c>
      <c r="F39" s="3">
        <f t="shared" si="1"/>
        <v>2250</v>
      </c>
      <c r="G39" s="3">
        <f t="shared" si="1"/>
        <v>7611.7647058823541</v>
      </c>
      <c r="H39" s="61">
        <f t="shared" si="2"/>
        <v>2250</v>
      </c>
      <c r="I39" s="10" t="s">
        <v>261</v>
      </c>
      <c r="J39" s="55">
        <f t="shared" si="3"/>
        <v>12144.705882352942</v>
      </c>
      <c r="K39" s="10"/>
    </row>
    <row r="40" spans="1:11" x14ac:dyDescent="0.3">
      <c r="B40" s="40" t="s">
        <v>13</v>
      </c>
      <c r="C40" s="44">
        <f t="shared" si="1"/>
        <v>800</v>
      </c>
      <c r="D40" s="3">
        <f t="shared" si="1"/>
        <v>399.99999999999994</v>
      </c>
      <c r="E40" s="3">
        <f t="shared" si="1"/>
        <v>4000</v>
      </c>
      <c r="F40" s="3">
        <f t="shared" si="1"/>
        <v>9.1304741545172874E-13</v>
      </c>
      <c r="G40" s="3">
        <f t="shared" si="1"/>
        <v>9.4117647058813318</v>
      </c>
      <c r="H40" s="61">
        <f t="shared" si="2"/>
        <v>9.1304741545172874E-13</v>
      </c>
      <c r="I40" s="10" t="s">
        <v>261</v>
      </c>
      <c r="J40" s="55">
        <f t="shared" si="3"/>
        <v>2083.7647058823527</v>
      </c>
      <c r="K40" s="10"/>
    </row>
    <row r="41" spans="1:11" x14ac:dyDescent="0.3">
      <c r="B41" s="41" t="s">
        <v>14</v>
      </c>
      <c r="C41" s="45">
        <f t="shared" si="1"/>
        <v>500</v>
      </c>
      <c r="D41" s="46">
        <f t="shared" si="1"/>
        <v>200</v>
      </c>
      <c r="E41" s="46">
        <f t="shared" si="1"/>
        <v>1500</v>
      </c>
      <c r="F41" s="46">
        <f t="shared" si="1"/>
        <v>150</v>
      </c>
      <c r="G41" s="46">
        <f t="shared" si="1"/>
        <v>2076.4705882352937</v>
      </c>
      <c r="H41" s="74">
        <f t="shared" si="2"/>
        <v>150</v>
      </c>
      <c r="I41" s="10" t="s">
        <v>261</v>
      </c>
      <c r="J41" s="57">
        <f t="shared" si="3"/>
        <v>1770.5882352941176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5400</v>
      </c>
      <c r="G43" s="10"/>
      <c r="H43" s="51">
        <f>F43</f>
        <v>5400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4800.0000000000036</v>
      </c>
      <c r="G44" s="10"/>
      <c r="H44" s="52">
        <f t="shared" ref="H44:H52" si="5">F44</f>
        <v>4800.0000000000036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2400</v>
      </c>
      <c r="G45" s="10"/>
      <c r="H45" s="52">
        <f t="shared" si="5"/>
        <v>2400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2700</v>
      </c>
      <c r="G46" s="10"/>
      <c r="H46" s="52">
        <f t="shared" si="5"/>
        <v>2700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2100</v>
      </c>
      <c r="G47" s="10"/>
      <c r="H47" s="52">
        <f t="shared" si="5"/>
        <v>2100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2550</v>
      </c>
      <c r="G48" s="10"/>
      <c r="H48" s="52">
        <f t="shared" si="5"/>
        <v>2550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1199.9999999999982</v>
      </c>
      <c r="G49" s="10"/>
      <c r="H49" s="52">
        <f t="shared" si="5"/>
        <v>1199.9999999999982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2250</v>
      </c>
      <c r="G50" s="10"/>
      <c r="H50" s="52">
        <f t="shared" si="5"/>
        <v>2250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9.1304741545172874E-13</v>
      </c>
      <c r="G51" s="10"/>
      <c r="H51" s="52">
        <f t="shared" si="5"/>
        <v>9.1304741545172874E-13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150</v>
      </c>
      <c r="G52" s="10"/>
      <c r="H52" s="53">
        <f t="shared" si="5"/>
        <v>150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50</v>
      </c>
      <c r="F54" s="20">
        <f t="shared" ref="F54:G63" si="7">F5</f>
        <v>5400</v>
      </c>
      <c r="G54" s="20">
        <f t="shared" si="7"/>
        <v>23023.529411764703</v>
      </c>
      <c r="H54" s="51">
        <f>0.25*J21</f>
        <v>7000</v>
      </c>
      <c r="I54" s="10" t="s">
        <v>261</v>
      </c>
      <c r="J54" s="51">
        <f>SUM(E54:G54)</f>
        <v>28473.529411764703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150</v>
      </c>
      <c r="F55" s="10">
        <f t="shared" si="7"/>
        <v>4800.0000000000036</v>
      </c>
      <c r="G55" s="10">
        <f t="shared" si="7"/>
        <v>28164.705882352937</v>
      </c>
      <c r="H55" s="52">
        <f t="shared" ref="H55:H63" si="8">0.25*J22</f>
        <v>8000</v>
      </c>
      <c r="I55" s="10" t="s">
        <v>261</v>
      </c>
      <c r="J55" s="52">
        <f t="shared" ref="J55:J63" si="9">SUM(E55:G55)</f>
        <v>33114.705882352937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50</v>
      </c>
      <c r="F56" s="10">
        <f t="shared" si="7"/>
        <v>2400</v>
      </c>
      <c r="G56" s="10">
        <f t="shared" si="7"/>
        <v>14905.882352941175</v>
      </c>
      <c r="H56" s="52">
        <f t="shared" si="8"/>
        <v>5000</v>
      </c>
      <c r="I56" s="10" t="s">
        <v>261</v>
      </c>
      <c r="J56" s="52">
        <f t="shared" si="9"/>
        <v>17355.882352941175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16</v>
      </c>
      <c r="F57" s="10">
        <f t="shared" si="7"/>
        <v>2700</v>
      </c>
      <c r="G57" s="10">
        <f t="shared" si="7"/>
        <v>10581.176470588236</v>
      </c>
      <c r="H57" s="52">
        <f t="shared" si="8"/>
        <v>5500</v>
      </c>
      <c r="I57" s="10" t="s">
        <v>261</v>
      </c>
      <c r="J57" s="52">
        <f t="shared" si="9"/>
        <v>13297.176470588236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10</v>
      </c>
      <c r="F58" s="10">
        <f t="shared" si="7"/>
        <v>2100</v>
      </c>
      <c r="G58" s="10">
        <f t="shared" si="7"/>
        <v>7435.2941176470567</v>
      </c>
      <c r="H58" s="52">
        <f t="shared" si="8"/>
        <v>4750</v>
      </c>
      <c r="I58" s="10" t="s">
        <v>261</v>
      </c>
      <c r="J58" s="52">
        <f t="shared" si="9"/>
        <v>9545.2941176470558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60</v>
      </c>
      <c r="F59" s="10">
        <f t="shared" si="7"/>
        <v>2550</v>
      </c>
      <c r="G59" s="10">
        <f t="shared" si="7"/>
        <v>12182.352941176472</v>
      </c>
      <c r="H59" s="52">
        <f t="shared" si="8"/>
        <v>3750</v>
      </c>
      <c r="I59" s="10" t="s">
        <v>261</v>
      </c>
      <c r="J59" s="52">
        <f t="shared" si="9"/>
        <v>14792.352941176472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600</v>
      </c>
      <c r="F60" s="10">
        <f t="shared" si="7"/>
        <v>1199.9999999999982</v>
      </c>
      <c r="G60" s="10">
        <f t="shared" si="7"/>
        <v>10494.117647058822</v>
      </c>
      <c r="H60" s="52">
        <f t="shared" si="8"/>
        <v>3625</v>
      </c>
      <c r="I60" s="10" t="s">
        <v>261</v>
      </c>
      <c r="J60" s="52">
        <f t="shared" si="9"/>
        <v>12294.11764705882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75</v>
      </c>
      <c r="F61" s="10">
        <f t="shared" si="7"/>
        <v>2250</v>
      </c>
      <c r="G61" s="10">
        <f t="shared" si="7"/>
        <v>7611.7647058823541</v>
      </c>
      <c r="H61" s="52">
        <f t="shared" si="8"/>
        <v>3250</v>
      </c>
      <c r="I61" s="10" t="s">
        <v>261</v>
      </c>
      <c r="J61" s="52">
        <f t="shared" si="9"/>
        <v>9936.7647058823532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1800</v>
      </c>
      <c r="F62" s="10">
        <f t="shared" si="7"/>
        <v>9.1304741545172874E-13</v>
      </c>
      <c r="G62" s="10">
        <f t="shared" si="7"/>
        <v>9.4117647058813318</v>
      </c>
      <c r="H62" s="52">
        <f t="shared" si="8"/>
        <v>500</v>
      </c>
      <c r="I62" s="10" t="s">
        <v>261</v>
      </c>
      <c r="J62" s="52">
        <f t="shared" si="9"/>
        <v>1809.4117647058822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525</v>
      </c>
      <c r="F63" s="23">
        <f t="shared" si="7"/>
        <v>150</v>
      </c>
      <c r="G63" s="23">
        <f t="shared" si="7"/>
        <v>2076.4705882352937</v>
      </c>
      <c r="H63" s="53">
        <f t="shared" si="8"/>
        <v>625</v>
      </c>
      <c r="I63" s="10" t="s">
        <v>261</v>
      </c>
      <c r="J63" s="53">
        <f t="shared" si="9"/>
        <v>2751.4705882352937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22000</v>
      </c>
      <c r="D66" s="10"/>
      <c r="E66" s="10"/>
      <c r="F66" s="10"/>
      <c r="G66" s="10"/>
      <c r="H66" s="51">
        <f>C66</f>
        <v>22000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15000</v>
      </c>
      <c r="D67" s="10"/>
      <c r="E67" s="10"/>
      <c r="F67" s="10"/>
      <c r="G67" s="10"/>
      <c r="H67" s="52">
        <f t="shared" ref="H67:H75" si="11">C67</f>
        <v>15000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10000</v>
      </c>
      <c r="D68" s="10"/>
      <c r="E68" s="10"/>
      <c r="F68" s="10"/>
      <c r="G68" s="10"/>
      <c r="H68" s="52">
        <f t="shared" si="11"/>
        <v>10000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30000</v>
      </c>
      <c r="D69" s="10"/>
      <c r="E69" s="10"/>
      <c r="F69" s="10"/>
      <c r="G69" s="10"/>
      <c r="H69" s="52">
        <f t="shared" si="11"/>
        <v>30000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40000</v>
      </c>
      <c r="D70" s="10"/>
      <c r="E70" s="10"/>
      <c r="F70" s="10"/>
      <c r="G70" s="10"/>
      <c r="H70" s="52">
        <f t="shared" si="11"/>
        <v>40000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10000</v>
      </c>
      <c r="D71" s="10"/>
      <c r="E71" s="10"/>
      <c r="F71" s="10"/>
      <c r="G71" s="10"/>
      <c r="H71" s="52">
        <f t="shared" si="11"/>
        <v>10000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12000</v>
      </c>
      <c r="D72" s="10"/>
      <c r="E72" s="10"/>
      <c r="F72" s="10"/>
      <c r="G72" s="10"/>
      <c r="H72" s="52">
        <f t="shared" si="11"/>
        <v>12000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12000</v>
      </c>
      <c r="D73" s="10"/>
      <c r="E73" s="10"/>
      <c r="F73" s="10"/>
      <c r="G73" s="10"/>
      <c r="H73" s="52">
        <f t="shared" si="11"/>
        <v>12000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800</v>
      </c>
      <c r="D74" s="10"/>
      <c r="E74" s="10"/>
      <c r="F74" s="10"/>
      <c r="G74" s="10"/>
      <c r="H74" s="52">
        <f t="shared" si="11"/>
        <v>800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500</v>
      </c>
      <c r="D75" s="10"/>
      <c r="E75" s="10"/>
      <c r="F75" s="10"/>
      <c r="G75" s="10"/>
      <c r="H75" s="53">
        <f t="shared" si="11"/>
        <v>500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2000</v>
      </c>
      <c r="E77" s="10"/>
      <c r="F77" s="10"/>
      <c r="G77" s="10"/>
      <c r="H77" s="51">
        <f>D77</f>
        <v>2000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5000</v>
      </c>
      <c r="E78" s="10"/>
      <c r="F78" s="10"/>
      <c r="G78" s="10"/>
      <c r="H78" s="52">
        <f t="shared" ref="H78:H86" si="13">D78</f>
        <v>5000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12000</v>
      </c>
      <c r="E79" s="10"/>
      <c r="F79" s="10"/>
      <c r="G79" s="10"/>
      <c r="H79" s="52">
        <f t="shared" si="13"/>
        <v>12000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15000</v>
      </c>
      <c r="E80" s="10"/>
      <c r="F80" s="10"/>
      <c r="G80" s="10"/>
      <c r="H80" s="52">
        <f t="shared" si="13"/>
        <v>15000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8000</v>
      </c>
      <c r="E81" s="10"/>
      <c r="F81" s="10"/>
      <c r="G81" s="10"/>
      <c r="H81" s="52">
        <f t="shared" si="13"/>
        <v>8000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3000</v>
      </c>
      <c r="E82" s="10"/>
      <c r="F82" s="10"/>
      <c r="G82" s="10"/>
      <c r="H82" s="52">
        <f t="shared" si="13"/>
        <v>3000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6000</v>
      </c>
      <c r="E83" s="10"/>
      <c r="F83" s="10"/>
      <c r="G83" s="10"/>
      <c r="H83" s="52">
        <f t="shared" si="13"/>
        <v>6000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8000</v>
      </c>
      <c r="E84" s="10"/>
      <c r="F84" s="10"/>
      <c r="G84" s="10"/>
      <c r="H84" s="52">
        <f t="shared" si="13"/>
        <v>8000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399.99999999999994</v>
      </c>
      <c r="E85" s="10"/>
      <c r="F85" s="10"/>
      <c r="G85" s="10"/>
      <c r="H85" s="52">
        <f t="shared" si="13"/>
        <v>399.99999999999994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200</v>
      </c>
      <c r="E86" s="10"/>
      <c r="F86" s="10"/>
      <c r="G86" s="10"/>
      <c r="H86" s="53">
        <f t="shared" si="13"/>
        <v>200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500</v>
      </c>
      <c r="F88" s="10"/>
      <c r="G88" s="10"/>
      <c r="H88" s="51">
        <f>E88</f>
        <v>500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1000</v>
      </c>
      <c r="F89" s="10"/>
      <c r="G89" s="10"/>
      <c r="H89" s="52">
        <f t="shared" ref="H89:H97" si="15">E89</f>
        <v>1000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500</v>
      </c>
      <c r="F90" s="10"/>
      <c r="G90" s="10"/>
      <c r="H90" s="52">
        <f t="shared" si="15"/>
        <v>500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200</v>
      </c>
      <c r="F91" s="10"/>
      <c r="G91" s="10"/>
      <c r="H91" s="52">
        <f t="shared" si="15"/>
        <v>200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200</v>
      </c>
      <c r="F92" s="10"/>
      <c r="G92" s="10"/>
      <c r="H92" s="52">
        <f t="shared" si="15"/>
        <v>200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500</v>
      </c>
      <c r="F93" s="10"/>
      <c r="G93" s="10"/>
      <c r="H93" s="52">
        <f t="shared" si="15"/>
        <v>500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2000</v>
      </c>
      <c r="F94" s="10"/>
      <c r="G94" s="10"/>
      <c r="H94" s="52">
        <f t="shared" si="15"/>
        <v>2000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500</v>
      </c>
      <c r="F95" s="10"/>
      <c r="G95" s="10"/>
      <c r="H95" s="52">
        <f t="shared" si="15"/>
        <v>500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4000</v>
      </c>
      <c r="F96" s="10"/>
      <c r="G96" s="10"/>
      <c r="H96" s="52">
        <f t="shared" si="15"/>
        <v>4000</v>
      </c>
      <c r="I96" s="10" t="s">
        <v>52</v>
      </c>
      <c r="J96" s="55">
        <v>4000</v>
      </c>
      <c r="K96" s="10"/>
    </row>
    <row r="97" spans="1:11" x14ac:dyDescent="0.3">
      <c r="B97" s="18" t="s">
        <v>14</v>
      </c>
      <c r="C97" s="10"/>
      <c r="D97" s="10"/>
      <c r="E97" s="49">
        <f t="shared" si="14"/>
        <v>1500</v>
      </c>
      <c r="F97" s="10"/>
      <c r="G97" s="10"/>
      <c r="H97" s="53">
        <f t="shared" si="15"/>
        <v>1500</v>
      </c>
      <c r="I97" s="10" t="s">
        <v>52</v>
      </c>
      <c r="J97" s="57">
        <v>1500</v>
      </c>
      <c r="K97" s="10"/>
    </row>
    <row r="98" spans="1:11" x14ac:dyDescent="0.3">
      <c r="C98" s="10"/>
      <c r="D98" s="10"/>
      <c r="E98" s="10"/>
      <c r="F98" s="10"/>
      <c r="G98" s="10"/>
      <c r="H98" s="10"/>
      <c r="I98" s="10"/>
      <c r="K98" s="10"/>
    </row>
    <row r="99" spans="1:11" x14ac:dyDescent="0.3">
      <c r="A99" s="64" t="s">
        <v>262</v>
      </c>
      <c r="B99" s="75" t="s">
        <v>5</v>
      </c>
      <c r="C99" s="76">
        <v>40000</v>
      </c>
      <c r="H99" s="60">
        <f>C5</f>
        <v>22000</v>
      </c>
      <c r="I99" s="10" t="s">
        <v>261</v>
      </c>
      <c r="J99" s="58">
        <v>40000</v>
      </c>
      <c r="K99" s="10"/>
    </row>
    <row r="100" spans="1:11" x14ac:dyDescent="0.3">
      <c r="B100" s="40" t="s">
        <v>6</v>
      </c>
      <c r="C100" s="71">
        <v>30000</v>
      </c>
      <c r="H100" s="61">
        <f t="shared" ref="H100:H108" si="16">C6</f>
        <v>15000</v>
      </c>
      <c r="I100" s="10" t="s">
        <v>261</v>
      </c>
      <c r="J100" s="55">
        <v>30000</v>
      </c>
      <c r="K100" s="10"/>
    </row>
    <row r="101" spans="1:11" x14ac:dyDescent="0.3">
      <c r="B101" s="40" t="s">
        <v>7</v>
      </c>
      <c r="C101" s="71">
        <v>20000</v>
      </c>
      <c r="H101" s="61">
        <f t="shared" si="16"/>
        <v>10000</v>
      </c>
      <c r="I101" s="10" t="s">
        <v>261</v>
      </c>
      <c r="J101" s="55">
        <v>20000</v>
      </c>
      <c r="K101" s="10"/>
    </row>
    <row r="102" spans="1:11" x14ac:dyDescent="0.3">
      <c r="B102" s="40" t="s">
        <v>8</v>
      </c>
      <c r="C102" s="71">
        <v>40000</v>
      </c>
      <c r="H102" s="61">
        <f t="shared" si="16"/>
        <v>30000</v>
      </c>
      <c r="I102" s="10" t="s">
        <v>261</v>
      </c>
      <c r="J102" s="55">
        <v>40000</v>
      </c>
      <c r="K102" s="10"/>
    </row>
    <row r="103" spans="1:11" x14ac:dyDescent="0.3">
      <c r="B103" s="40" t="s">
        <v>9</v>
      </c>
      <c r="C103" s="71">
        <v>75000</v>
      </c>
      <c r="H103" s="61">
        <f t="shared" si="16"/>
        <v>40000</v>
      </c>
      <c r="I103" s="10" t="s">
        <v>261</v>
      </c>
      <c r="J103" s="55">
        <v>75000</v>
      </c>
      <c r="K103" s="10"/>
    </row>
    <row r="104" spans="1:11" x14ac:dyDescent="0.3">
      <c r="B104" s="40" t="s">
        <v>10</v>
      </c>
      <c r="C104" s="71">
        <v>35000</v>
      </c>
      <c r="H104" s="61">
        <f t="shared" si="16"/>
        <v>10000</v>
      </c>
      <c r="I104" s="10" t="s">
        <v>261</v>
      </c>
      <c r="J104" s="55">
        <v>35000</v>
      </c>
      <c r="K104" s="10"/>
    </row>
    <row r="105" spans="1:11" x14ac:dyDescent="0.3">
      <c r="B105" s="40" t="s">
        <v>11</v>
      </c>
      <c r="C105" s="71">
        <v>25000</v>
      </c>
      <c r="H105" s="61">
        <f t="shared" si="16"/>
        <v>12000</v>
      </c>
      <c r="I105" s="10" t="s">
        <v>261</v>
      </c>
      <c r="J105" s="55">
        <v>25000</v>
      </c>
      <c r="K105" s="10"/>
    </row>
    <row r="106" spans="1:11" x14ac:dyDescent="0.3">
      <c r="B106" s="40" t="s">
        <v>12</v>
      </c>
      <c r="C106" s="71">
        <v>30000</v>
      </c>
      <c r="H106" s="61">
        <f t="shared" si="16"/>
        <v>12000</v>
      </c>
      <c r="I106" s="10" t="s">
        <v>261</v>
      </c>
      <c r="J106" s="55">
        <v>30000</v>
      </c>
      <c r="K106" s="10"/>
    </row>
    <row r="107" spans="1:11" x14ac:dyDescent="0.3">
      <c r="B107" s="40" t="s">
        <v>13</v>
      </c>
      <c r="C107" s="71">
        <v>2000</v>
      </c>
      <c r="H107" s="61">
        <f t="shared" si="16"/>
        <v>800</v>
      </c>
      <c r="I107" s="10" t="s">
        <v>261</v>
      </c>
      <c r="J107" s="55">
        <v>2000</v>
      </c>
      <c r="K107" s="10"/>
    </row>
    <row r="108" spans="1:11" x14ac:dyDescent="0.3">
      <c r="B108" s="41" t="s">
        <v>14</v>
      </c>
      <c r="C108" s="72">
        <v>3000</v>
      </c>
      <c r="H108" s="74">
        <f t="shared" si="16"/>
        <v>500</v>
      </c>
      <c r="I108" s="10" t="s">
        <v>261</v>
      </c>
      <c r="J108" s="57">
        <v>3000</v>
      </c>
      <c r="K108" s="10"/>
    </row>
    <row r="109" spans="1:11" x14ac:dyDescent="0.3">
      <c r="C109" s="10"/>
      <c r="D109" s="10"/>
      <c r="E109" s="10"/>
      <c r="F109" s="10"/>
      <c r="G109" s="10"/>
      <c r="H109" s="10"/>
      <c r="I109" s="10"/>
      <c r="K109" s="10"/>
    </row>
    <row r="110" spans="1:11" x14ac:dyDescent="0.3">
      <c r="B110" s="16" t="s">
        <v>5</v>
      </c>
      <c r="C110" s="10"/>
      <c r="D110" s="76">
        <v>5000</v>
      </c>
      <c r="E110" s="10"/>
      <c r="F110" s="10"/>
      <c r="G110" s="10"/>
      <c r="H110" s="60">
        <f>D5</f>
        <v>2000</v>
      </c>
      <c r="I110" s="10" t="s">
        <v>261</v>
      </c>
      <c r="J110" s="58">
        <v>5000</v>
      </c>
      <c r="K110" s="10"/>
    </row>
    <row r="111" spans="1:11" x14ac:dyDescent="0.3">
      <c r="B111" s="17" t="s">
        <v>6</v>
      </c>
      <c r="C111" s="10"/>
      <c r="D111" s="71">
        <v>10000</v>
      </c>
      <c r="E111" s="10"/>
      <c r="F111" s="10"/>
      <c r="G111" s="10"/>
      <c r="H111" s="61">
        <f t="shared" ref="H111:H119" si="17">D6</f>
        <v>5000</v>
      </c>
      <c r="I111" s="10" t="s">
        <v>261</v>
      </c>
      <c r="J111" s="55">
        <v>10000</v>
      </c>
      <c r="K111" s="10"/>
    </row>
    <row r="112" spans="1:11" x14ac:dyDescent="0.3">
      <c r="B112" s="17" t="s">
        <v>7</v>
      </c>
      <c r="C112" s="10"/>
      <c r="D112" s="71">
        <v>35000</v>
      </c>
      <c r="E112" s="10"/>
      <c r="F112" s="10"/>
      <c r="G112" s="10"/>
      <c r="H112" s="61">
        <f t="shared" si="17"/>
        <v>12000</v>
      </c>
      <c r="I112" s="10" t="s">
        <v>261</v>
      </c>
      <c r="J112" s="55">
        <v>35000</v>
      </c>
      <c r="K112" s="10"/>
    </row>
    <row r="113" spans="2:11" x14ac:dyDescent="0.3">
      <c r="B113" s="17" t="s">
        <v>8</v>
      </c>
      <c r="C113" s="10"/>
      <c r="D113" s="71">
        <v>30000</v>
      </c>
      <c r="E113" s="10"/>
      <c r="F113" s="10"/>
      <c r="G113" s="10"/>
      <c r="H113" s="61">
        <f t="shared" si="17"/>
        <v>15000</v>
      </c>
      <c r="I113" s="10" t="s">
        <v>261</v>
      </c>
      <c r="J113" s="55">
        <v>30000</v>
      </c>
      <c r="K113" s="10"/>
    </row>
    <row r="114" spans="2:11" x14ac:dyDescent="0.3">
      <c r="B114" s="17" t="s">
        <v>9</v>
      </c>
      <c r="C114" s="10"/>
      <c r="D114" s="71">
        <v>10000</v>
      </c>
      <c r="E114" s="10"/>
      <c r="F114" s="10"/>
      <c r="G114" s="10"/>
      <c r="H114" s="61">
        <f t="shared" si="17"/>
        <v>8000</v>
      </c>
      <c r="I114" s="10" t="s">
        <v>261</v>
      </c>
      <c r="J114" s="55">
        <v>10000</v>
      </c>
      <c r="K114" s="10"/>
    </row>
    <row r="115" spans="2:11" x14ac:dyDescent="0.3">
      <c r="B115" s="17" t="s">
        <v>10</v>
      </c>
      <c r="C115" s="10"/>
      <c r="D115" s="71">
        <v>8000</v>
      </c>
      <c r="E115" s="10"/>
      <c r="F115" s="10"/>
      <c r="G115" s="10"/>
      <c r="H115" s="61">
        <f t="shared" si="17"/>
        <v>3000</v>
      </c>
      <c r="I115" s="10" t="s">
        <v>261</v>
      </c>
      <c r="J115" s="55">
        <v>8000</v>
      </c>
      <c r="K115" s="10"/>
    </row>
    <row r="116" spans="2:11" x14ac:dyDescent="0.3">
      <c r="B116" s="17" t="s">
        <v>11</v>
      </c>
      <c r="C116" s="10"/>
      <c r="D116" s="71">
        <v>15000</v>
      </c>
      <c r="E116" s="10"/>
      <c r="F116" s="10"/>
      <c r="G116" s="10"/>
      <c r="H116" s="61">
        <f t="shared" si="17"/>
        <v>6000</v>
      </c>
      <c r="I116" s="10" t="s">
        <v>261</v>
      </c>
      <c r="J116" s="55">
        <v>15000</v>
      </c>
      <c r="K116" s="10"/>
    </row>
    <row r="117" spans="2:11" x14ac:dyDescent="0.3">
      <c r="B117" s="17" t="s">
        <v>12</v>
      </c>
      <c r="C117" s="10"/>
      <c r="D117" s="71">
        <v>20000</v>
      </c>
      <c r="E117" s="10"/>
      <c r="F117" s="10"/>
      <c r="G117" s="10"/>
      <c r="H117" s="61">
        <f t="shared" si="17"/>
        <v>8000</v>
      </c>
      <c r="I117" s="10" t="s">
        <v>261</v>
      </c>
      <c r="J117" s="55">
        <v>20000</v>
      </c>
      <c r="K117" s="10"/>
    </row>
    <row r="118" spans="2:11" x14ac:dyDescent="0.3">
      <c r="B118" s="17" t="s">
        <v>13</v>
      </c>
      <c r="C118" s="10"/>
      <c r="D118" s="71">
        <v>1000</v>
      </c>
      <c r="E118" s="10"/>
      <c r="F118" s="10"/>
      <c r="G118" s="10"/>
      <c r="H118" s="61">
        <f t="shared" si="17"/>
        <v>399.99999999999994</v>
      </c>
      <c r="I118" s="10" t="s">
        <v>261</v>
      </c>
      <c r="J118" s="55">
        <v>1000</v>
      </c>
      <c r="K118" s="10"/>
    </row>
    <row r="119" spans="2:11" x14ac:dyDescent="0.3">
      <c r="B119" s="18" t="s">
        <v>14</v>
      </c>
      <c r="C119" s="10"/>
      <c r="D119" s="72">
        <v>1000</v>
      </c>
      <c r="E119" s="10"/>
      <c r="F119" s="10"/>
      <c r="G119" s="10"/>
      <c r="H119" s="74">
        <f t="shared" si="17"/>
        <v>200</v>
      </c>
      <c r="I119" s="10" t="s">
        <v>261</v>
      </c>
      <c r="J119" s="57">
        <v>1000</v>
      </c>
      <c r="K119" s="10"/>
    </row>
    <row r="120" spans="2:11" x14ac:dyDescent="0.3">
      <c r="C120" s="10"/>
      <c r="D120" s="10"/>
      <c r="E120" s="10"/>
      <c r="F120" s="10"/>
      <c r="G120" s="10"/>
      <c r="H120" s="10"/>
      <c r="I120" s="10"/>
      <c r="K120" s="10"/>
    </row>
    <row r="121" spans="2:11" x14ac:dyDescent="0.3">
      <c r="C121" s="10"/>
      <c r="D121" s="10"/>
      <c r="E121" s="11"/>
      <c r="F121" s="10"/>
      <c r="G121" s="10"/>
      <c r="H121" s="10"/>
      <c r="I121" s="10"/>
      <c r="K121" s="10"/>
    </row>
    <row r="122" spans="2:11" x14ac:dyDescent="0.3">
      <c r="C122" s="10"/>
      <c r="D122" s="10"/>
      <c r="E122" s="11"/>
      <c r="F122" s="10"/>
      <c r="G122" s="10"/>
      <c r="H122" s="10"/>
      <c r="I122" s="10"/>
      <c r="K122" s="10"/>
    </row>
    <row r="123" spans="2:11" x14ac:dyDescent="0.3">
      <c r="C123" s="10"/>
      <c r="D123" s="10"/>
      <c r="E123" s="11"/>
      <c r="F123" s="10"/>
      <c r="G123" s="10"/>
      <c r="H123" s="10"/>
      <c r="I123" s="10"/>
      <c r="K123" s="10"/>
    </row>
    <row r="124" spans="2:11" x14ac:dyDescent="0.3">
      <c r="C124" s="10"/>
      <c r="D124" s="10"/>
      <c r="E124" s="3"/>
      <c r="F124" s="10"/>
      <c r="G124" s="10"/>
      <c r="H124" s="10"/>
      <c r="I124" s="10"/>
      <c r="K124" s="10"/>
    </row>
    <row r="125" spans="2:11" x14ac:dyDescent="0.3">
      <c r="C125" s="10"/>
      <c r="D125" s="10"/>
      <c r="E125" s="3"/>
      <c r="F125" s="10"/>
      <c r="G125" s="10"/>
      <c r="H125" s="10"/>
      <c r="I125" s="10"/>
      <c r="K125" s="10"/>
    </row>
    <row r="126" spans="2:11" x14ac:dyDescent="0.3">
      <c r="E126" s="11"/>
      <c r="I126" s="10"/>
    </row>
    <row r="127" spans="2:11" x14ac:dyDescent="0.3">
      <c r="E127" s="11"/>
      <c r="I127" s="10"/>
    </row>
    <row r="128" spans="2:11" x14ac:dyDescent="0.3">
      <c r="E128" s="11"/>
      <c r="I128" s="10"/>
    </row>
    <row r="129" spans="5:9" x14ac:dyDescent="0.3">
      <c r="E129" s="11"/>
      <c r="I129" s="10"/>
    </row>
    <row r="130" spans="5:9" x14ac:dyDescent="0.3">
      <c r="E130" s="11"/>
      <c r="I130" s="10"/>
    </row>
    <row r="131" spans="5:9" x14ac:dyDescent="0.3">
      <c r="I131" s="10"/>
    </row>
    <row r="132" spans="5:9" x14ac:dyDescent="0.3">
      <c r="F132" s="11"/>
      <c r="I132" s="10"/>
    </row>
    <row r="133" spans="5:9" x14ac:dyDescent="0.3">
      <c r="F133" s="11"/>
      <c r="I133" s="10"/>
    </row>
    <row r="134" spans="5:9" x14ac:dyDescent="0.3">
      <c r="F134" s="11"/>
      <c r="I134" s="10"/>
    </row>
    <row r="135" spans="5:9" x14ac:dyDescent="0.3">
      <c r="F135" s="11"/>
      <c r="I135" s="10"/>
    </row>
    <row r="136" spans="5:9" x14ac:dyDescent="0.3">
      <c r="F136" s="11"/>
      <c r="I136" s="10"/>
    </row>
    <row r="137" spans="5:9" x14ac:dyDescent="0.3">
      <c r="F137" s="11"/>
      <c r="I137" s="10"/>
    </row>
    <row r="138" spans="5:9" x14ac:dyDescent="0.3">
      <c r="F138" s="11"/>
      <c r="I138" s="10"/>
    </row>
    <row r="139" spans="5:9" x14ac:dyDescent="0.3">
      <c r="F139" s="11"/>
      <c r="I139" s="10"/>
    </row>
    <row r="140" spans="5:9" x14ac:dyDescent="0.3">
      <c r="F140" s="11"/>
      <c r="I140" s="10"/>
    </row>
    <row r="141" spans="5:9" x14ac:dyDescent="0.3">
      <c r="F141" s="11"/>
      <c r="I141" s="10"/>
    </row>
    <row r="142" spans="5:9" x14ac:dyDescent="0.3">
      <c r="I142" s="10"/>
    </row>
    <row r="143" spans="5:9" x14ac:dyDescent="0.3">
      <c r="G143" s="11"/>
      <c r="I143" s="10"/>
    </row>
    <row r="144" spans="5:9" x14ac:dyDescent="0.3">
      <c r="G144" s="11"/>
      <c r="I144" s="10"/>
    </row>
    <row r="145" spans="7:9" x14ac:dyDescent="0.3">
      <c r="G145" s="11"/>
      <c r="I145" s="10"/>
    </row>
    <row r="146" spans="7:9" x14ac:dyDescent="0.3">
      <c r="G146" s="11"/>
      <c r="I146" s="10"/>
    </row>
    <row r="147" spans="7:9" x14ac:dyDescent="0.3">
      <c r="G147" s="11"/>
      <c r="I147" s="10"/>
    </row>
    <row r="148" spans="7:9" x14ac:dyDescent="0.3">
      <c r="G148" s="11"/>
      <c r="I148" s="10"/>
    </row>
    <row r="149" spans="7:9" x14ac:dyDescent="0.3">
      <c r="G149" s="11"/>
      <c r="I149" s="10"/>
    </row>
    <row r="150" spans="7:9" x14ac:dyDescent="0.3">
      <c r="G150" s="11"/>
      <c r="I150" s="10"/>
    </row>
    <row r="151" spans="7:9" x14ac:dyDescent="0.3">
      <c r="G151" s="11"/>
      <c r="I151" s="10"/>
    </row>
    <row r="152" spans="7:9" x14ac:dyDescent="0.3">
      <c r="G152" s="11"/>
      <c r="I152" s="10"/>
    </row>
  </sheetData>
  <mergeCells count="1">
    <mergeCell ref="A1:B1"/>
  </mergeCells>
  <pageMargins left="1.8110236220472442" right="0.23622047244094491" top="7.874015748031496E-2" bottom="0" header="0.31496062992125984" footer="0.31496062992125984"/>
  <pageSetup paperSize="183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BAEE-5DD8-42B6-A5C4-47B3C32ACF5D}">
  <dimension ref="A1:H152"/>
  <sheetViews>
    <sheetView showGridLines="0" topLeftCell="A12" workbookViewId="0"/>
  </sheetViews>
  <sheetFormatPr defaultRowHeight="14.4" x14ac:dyDescent="0.3"/>
  <cols>
    <col min="1" max="1" width="2.33203125" customWidth="1"/>
    <col min="2" max="2" width="7.21875" bestFit="1" customWidth="1"/>
    <col min="3" max="3" width="21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73" t="s">
        <v>64</v>
      </c>
    </row>
    <row r="2" spans="1:8" x14ac:dyDescent="0.3">
      <c r="A2" s="73" t="s">
        <v>65</v>
      </c>
    </row>
    <row r="3" spans="1:8" x14ac:dyDescent="0.3">
      <c r="A3" s="73" t="s">
        <v>264</v>
      </c>
    </row>
    <row r="6" spans="1:8" ht="15" thickBot="1" x14ac:dyDescent="0.35">
      <c r="A6" t="s">
        <v>66</v>
      </c>
    </row>
    <row r="7" spans="1:8" x14ac:dyDescent="0.3">
      <c r="B7" s="97"/>
      <c r="C7" s="97"/>
      <c r="D7" s="97" t="s">
        <v>69</v>
      </c>
      <c r="E7" s="97" t="s">
        <v>71</v>
      </c>
      <c r="F7" s="97" t="s">
        <v>72</v>
      </c>
      <c r="G7" s="97" t="s">
        <v>74</v>
      </c>
      <c r="H7" s="97" t="s">
        <v>74</v>
      </c>
    </row>
    <row r="8" spans="1:8" ht="15" thickBot="1" x14ac:dyDescent="0.35">
      <c r="B8" s="98" t="s">
        <v>67</v>
      </c>
      <c r="C8" s="98" t="s">
        <v>68</v>
      </c>
      <c r="D8" s="98" t="s">
        <v>70</v>
      </c>
      <c r="E8" s="98" t="s">
        <v>60</v>
      </c>
      <c r="F8" s="98" t="s">
        <v>73</v>
      </c>
      <c r="G8" s="98" t="s">
        <v>75</v>
      </c>
      <c r="H8" s="98" t="s">
        <v>76</v>
      </c>
    </row>
    <row r="9" spans="1:8" x14ac:dyDescent="0.3">
      <c r="B9" s="95" t="s">
        <v>81</v>
      </c>
      <c r="C9" s="95" t="s">
        <v>82</v>
      </c>
      <c r="D9" s="95">
        <v>22000</v>
      </c>
      <c r="E9" s="95">
        <v>0</v>
      </c>
      <c r="F9" s="95">
        <v>55000</v>
      </c>
      <c r="G9" s="95">
        <v>1E+30</v>
      </c>
      <c r="H9" s="95">
        <v>47941.176470588238</v>
      </c>
    </row>
    <row r="10" spans="1:8" x14ac:dyDescent="0.3">
      <c r="B10" s="95" t="s">
        <v>83</v>
      </c>
      <c r="C10" s="95" t="s">
        <v>84</v>
      </c>
      <c r="D10" s="95">
        <v>2000</v>
      </c>
      <c r="E10" s="95">
        <v>0</v>
      </c>
      <c r="F10" s="95">
        <v>65000</v>
      </c>
      <c r="G10" s="95">
        <v>1E+30</v>
      </c>
      <c r="H10" s="95">
        <v>61470.588235294119</v>
      </c>
    </row>
    <row r="11" spans="1:8" x14ac:dyDescent="0.3">
      <c r="B11" s="95" t="s">
        <v>85</v>
      </c>
      <c r="C11" s="95" t="s">
        <v>86</v>
      </c>
      <c r="D11" s="95">
        <v>500</v>
      </c>
      <c r="E11" s="95">
        <v>0</v>
      </c>
      <c r="F11" s="95">
        <v>80000</v>
      </c>
      <c r="G11" s="95">
        <v>1E+30</v>
      </c>
      <c r="H11" s="95">
        <v>76470.588235294112</v>
      </c>
    </row>
    <row r="12" spans="1:8" x14ac:dyDescent="0.3">
      <c r="B12" s="95" t="s">
        <v>87</v>
      </c>
      <c r="C12" s="95" t="s">
        <v>88</v>
      </c>
      <c r="D12" s="95">
        <v>5400</v>
      </c>
      <c r="E12" s="95">
        <v>0</v>
      </c>
      <c r="F12" s="95">
        <v>45000</v>
      </c>
      <c r="G12" s="95">
        <v>1E+30</v>
      </c>
      <c r="H12" s="95">
        <v>20294.117647058825</v>
      </c>
    </row>
    <row r="13" spans="1:8" x14ac:dyDescent="0.3">
      <c r="B13" s="95" t="s">
        <v>89</v>
      </c>
      <c r="C13" s="95" t="s">
        <v>90</v>
      </c>
      <c r="D13" s="95">
        <v>23023.529411764703</v>
      </c>
      <c r="E13" s="95">
        <v>0</v>
      </c>
      <c r="F13" s="95">
        <v>30000</v>
      </c>
      <c r="G13" s="95">
        <v>24642.857142857145</v>
      </c>
      <c r="H13" s="95">
        <v>30000</v>
      </c>
    </row>
    <row r="14" spans="1:8" x14ac:dyDescent="0.3">
      <c r="B14" s="95" t="s">
        <v>91</v>
      </c>
      <c r="C14" s="95" t="s">
        <v>92</v>
      </c>
      <c r="D14" s="95">
        <v>15000</v>
      </c>
      <c r="E14" s="95">
        <v>0</v>
      </c>
      <c r="F14" s="95">
        <v>55000</v>
      </c>
      <c r="G14" s="95">
        <v>1E+30</v>
      </c>
      <c r="H14" s="95">
        <v>47235.294117647078</v>
      </c>
    </row>
    <row r="15" spans="1:8" x14ac:dyDescent="0.3">
      <c r="B15" s="95" t="s">
        <v>93</v>
      </c>
      <c r="C15" s="95" t="s">
        <v>94</v>
      </c>
      <c r="D15" s="95">
        <v>5000</v>
      </c>
      <c r="E15" s="95">
        <v>0</v>
      </c>
      <c r="F15" s="95">
        <v>65000</v>
      </c>
      <c r="G15" s="95">
        <v>1E+30</v>
      </c>
      <c r="H15" s="95">
        <v>56176.470588235323</v>
      </c>
    </row>
    <row r="16" spans="1:8" x14ac:dyDescent="0.3">
      <c r="B16" s="95" t="s">
        <v>95</v>
      </c>
      <c r="C16" s="95" t="s">
        <v>96</v>
      </c>
      <c r="D16" s="95">
        <v>1000</v>
      </c>
      <c r="E16" s="95">
        <v>0</v>
      </c>
      <c r="F16" s="95">
        <v>80000</v>
      </c>
      <c r="G16" s="95">
        <v>1E+30</v>
      </c>
      <c r="H16" s="95">
        <v>74705.882352941175</v>
      </c>
    </row>
    <row r="17" spans="2:8" x14ac:dyDescent="0.3">
      <c r="B17" s="95" t="s">
        <v>97</v>
      </c>
      <c r="C17" s="95" t="s">
        <v>98</v>
      </c>
      <c r="D17" s="95">
        <v>4800.0000000000036</v>
      </c>
      <c r="E17" s="95">
        <v>0</v>
      </c>
      <c r="F17" s="95">
        <v>45000</v>
      </c>
      <c r="G17" s="95">
        <v>1E+30</v>
      </c>
      <c r="H17" s="95">
        <v>20294.117647058865</v>
      </c>
    </row>
    <row r="18" spans="2:8" x14ac:dyDescent="0.3">
      <c r="B18" s="95" t="s">
        <v>99</v>
      </c>
      <c r="C18" s="95" t="s">
        <v>100</v>
      </c>
      <c r="D18" s="95">
        <v>28164.705882352937</v>
      </c>
      <c r="E18" s="95">
        <v>0</v>
      </c>
      <c r="F18" s="95">
        <v>30000</v>
      </c>
      <c r="G18" s="95">
        <v>24642.857142857203</v>
      </c>
      <c r="H18" s="95">
        <v>29999.999999999938</v>
      </c>
    </row>
    <row r="19" spans="2:8" x14ac:dyDescent="0.3">
      <c r="B19" s="95" t="s">
        <v>101</v>
      </c>
      <c r="C19" s="95" t="s">
        <v>102</v>
      </c>
      <c r="D19" s="95">
        <v>10000</v>
      </c>
      <c r="E19" s="95">
        <v>0</v>
      </c>
      <c r="F19" s="95">
        <v>55000</v>
      </c>
      <c r="G19" s="95">
        <v>1E+30</v>
      </c>
      <c r="H19" s="95">
        <v>47941.176470588238</v>
      </c>
    </row>
    <row r="20" spans="2:8" x14ac:dyDescent="0.3">
      <c r="B20" s="95" t="s">
        <v>103</v>
      </c>
      <c r="C20" s="95" t="s">
        <v>104</v>
      </c>
      <c r="D20" s="95">
        <v>12000</v>
      </c>
      <c r="E20" s="95">
        <v>0</v>
      </c>
      <c r="F20" s="95">
        <v>65000</v>
      </c>
      <c r="G20" s="95">
        <v>1E+30</v>
      </c>
      <c r="H20" s="95">
        <v>54411.764705882357</v>
      </c>
    </row>
    <row r="21" spans="2:8" x14ac:dyDescent="0.3">
      <c r="B21" s="95" t="s">
        <v>105</v>
      </c>
      <c r="C21" s="95" t="s">
        <v>106</v>
      </c>
      <c r="D21" s="95">
        <v>500</v>
      </c>
      <c r="E21" s="95">
        <v>0</v>
      </c>
      <c r="F21" s="95">
        <v>80000</v>
      </c>
      <c r="G21" s="95">
        <v>1E+30</v>
      </c>
      <c r="H21" s="95">
        <v>76470.588235294112</v>
      </c>
    </row>
    <row r="22" spans="2:8" x14ac:dyDescent="0.3">
      <c r="B22" s="95" t="s">
        <v>107</v>
      </c>
      <c r="C22" s="95" t="s">
        <v>108</v>
      </c>
      <c r="D22" s="95">
        <v>2400</v>
      </c>
      <c r="E22" s="95">
        <v>0</v>
      </c>
      <c r="F22" s="95">
        <v>45000</v>
      </c>
      <c r="G22" s="95">
        <v>1E+30</v>
      </c>
      <c r="H22" s="95">
        <v>20294.117647058833</v>
      </c>
    </row>
    <row r="23" spans="2:8" x14ac:dyDescent="0.3">
      <c r="B23" s="95" t="s">
        <v>109</v>
      </c>
      <c r="C23" s="95" t="s">
        <v>110</v>
      </c>
      <c r="D23" s="95">
        <v>14905.882352941175</v>
      </c>
      <c r="E23" s="95">
        <v>0</v>
      </c>
      <c r="F23" s="95">
        <v>30000</v>
      </c>
      <c r="G23" s="95">
        <v>24642.857142857163</v>
      </c>
      <c r="H23" s="95">
        <v>30000</v>
      </c>
    </row>
    <row r="24" spans="2:8" x14ac:dyDescent="0.3">
      <c r="B24" s="95" t="s">
        <v>111</v>
      </c>
      <c r="C24" s="95" t="s">
        <v>112</v>
      </c>
      <c r="D24" s="95">
        <v>30000</v>
      </c>
      <c r="E24" s="95">
        <v>0</v>
      </c>
      <c r="F24" s="95">
        <v>55000</v>
      </c>
      <c r="G24" s="95">
        <v>1E+30</v>
      </c>
      <c r="H24" s="95">
        <v>46882.352941176483</v>
      </c>
    </row>
    <row r="25" spans="2:8" x14ac:dyDescent="0.3">
      <c r="B25" s="95" t="s">
        <v>113</v>
      </c>
      <c r="C25" s="95" t="s">
        <v>114</v>
      </c>
      <c r="D25" s="95">
        <v>15000</v>
      </c>
      <c r="E25" s="95">
        <v>0</v>
      </c>
      <c r="F25" s="95">
        <v>65000</v>
      </c>
      <c r="G25" s="95">
        <v>1E+30</v>
      </c>
      <c r="H25" s="95">
        <v>55117.647058823532</v>
      </c>
    </row>
    <row r="26" spans="2:8" x14ac:dyDescent="0.3">
      <c r="B26" s="95" t="s">
        <v>115</v>
      </c>
      <c r="C26" s="95" t="s">
        <v>116</v>
      </c>
      <c r="D26" s="95">
        <v>200</v>
      </c>
      <c r="E26" s="95">
        <v>0</v>
      </c>
      <c r="F26" s="95">
        <v>80000</v>
      </c>
      <c r="G26" s="95">
        <v>1E+30</v>
      </c>
      <c r="H26" s="95">
        <v>77176.470588235301</v>
      </c>
    </row>
    <row r="27" spans="2:8" x14ac:dyDescent="0.3">
      <c r="B27" s="95" t="s">
        <v>117</v>
      </c>
      <c r="C27" s="95" t="s">
        <v>118</v>
      </c>
      <c r="D27" s="95">
        <v>2700</v>
      </c>
      <c r="E27" s="95">
        <v>0</v>
      </c>
      <c r="F27" s="95">
        <v>45000</v>
      </c>
      <c r="G27" s="95">
        <v>1E+30</v>
      </c>
      <c r="H27" s="95">
        <v>20294.117647058818</v>
      </c>
    </row>
    <row r="28" spans="2:8" x14ac:dyDescent="0.3">
      <c r="B28" s="95" t="s">
        <v>119</v>
      </c>
      <c r="C28" s="95" t="s">
        <v>120</v>
      </c>
      <c r="D28" s="95">
        <v>10581.176470588236</v>
      </c>
      <c r="E28" s="95">
        <v>0</v>
      </c>
      <c r="F28" s="95">
        <v>30000</v>
      </c>
      <c r="G28" s="95">
        <v>24642.857142857138</v>
      </c>
      <c r="H28" s="95">
        <v>29999.999999999996</v>
      </c>
    </row>
    <row r="29" spans="2:8" x14ac:dyDescent="0.3">
      <c r="B29" s="95" t="s">
        <v>121</v>
      </c>
      <c r="C29" s="95" t="s">
        <v>122</v>
      </c>
      <c r="D29" s="95">
        <v>40000</v>
      </c>
      <c r="E29" s="95">
        <v>0</v>
      </c>
      <c r="F29" s="95">
        <v>55000</v>
      </c>
      <c r="G29" s="95">
        <v>1E+30</v>
      </c>
      <c r="H29" s="95">
        <v>46176.470588235294</v>
      </c>
    </row>
    <row r="30" spans="2:8" x14ac:dyDescent="0.3">
      <c r="B30" s="95" t="s">
        <v>123</v>
      </c>
      <c r="C30" s="95" t="s">
        <v>124</v>
      </c>
      <c r="D30" s="95">
        <v>8000</v>
      </c>
      <c r="E30" s="95">
        <v>0</v>
      </c>
      <c r="F30" s="95">
        <v>65000</v>
      </c>
      <c r="G30" s="95">
        <v>1E+30</v>
      </c>
      <c r="H30" s="95">
        <v>59705.882352941175</v>
      </c>
    </row>
    <row r="31" spans="2:8" x14ac:dyDescent="0.3">
      <c r="B31" s="95" t="s">
        <v>125</v>
      </c>
      <c r="C31" s="95" t="s">
        <v>126</v>
      </c>
      <c r="D31" s="95">
        <v>200</v>
      </c>
      <c r="E31" s="95">
        <v>0</v>
      </c>
      <c r="F31" s="95">
        <v>80000</v>
      </c>
      <c r="G31" s="95">
        <v>1E+30</v>
      </c>
      <c r="H31" s="95">
        <v>78235.294117647063</v>
      </c>
    </row>
    <row r="32" spans="2:8" x14ac:dyDescent="0.3">
      <c r="B32" s="95" t="s">
        <v>127</v>
      </c>
      <c r="C32" s="95" t="s">
        <v>128</v>
      </c>
      <c r="D32" s="95">
        <v>2100</v>
      </c>
      <c r="E32" s="95">
        <v>0</v>
      </c>
      <c r="F32" s="95">
        <v>45000</v>
      </c>
      <c r="G32" s="95">
        <v>1E+30</v>
      </c>
      <c r="H32" s="95">
        <v>20294.117647058825</v>
      </c>
    </row>
    <row r="33" spans="2:8" x14ac:dyDescent="0.3">
      <c r="B33" s="95" t="s">
        <v>129</v>
      </c>
      <c r="C33" s="95" t="s">
        <v>130</v>
      </c>
      <c r="D33" s="95">
        <v>7435.2941176470567</v>
      </c>
      <c r="E33" s="95">
        <v>0</v>
      </c>
      <c r="F33" s="95">
        <v>30000</v>
      </c>
      <c r="G33" s="95">
        <v>24642.857142857149</v>
      </c>
      <c r="H33" s="95">
        <v>30000</v>
      </c>
    </row>
    <row r="34" spans="2:8" x14ac:dyDescent="0.3">
      <c r="B34" s="95" t="s">
        <v>131</v>
      </c>
      <c r="C34" s="95" t="s">
        <v>132</v>
      </c>
      <c r="D34" s="95">
        <v>10000</v>
      </c>
      <c r="E34" s="95">
        <v>0</v>
      </c>
      <c r="F34" s="95">
        <v>55000</v>
      </c>
      <c r="G34" s="95">
        <v>1E+30</v>
      </c>
      <c r="H34" s="95">
        <v>47235.294117647056</v>
      </c>
    </row>
    <row r="35" spans="2:8" x14ac:dyDescent="0.3">
      <c r="B35" s="95" t="s">
        <v>133</v>
      </c>
      <c r="C35" s="95" t="s">
        <v>134</v>
      </c>
      <c r="D35" s="95">
        <v>3000</v>
      </c>
      <c r="E35" s="95">
        <v>0</v>
      </c>
      <c r="F35" s="95">
        <v>65000</v>
      </c>
      <c r="G35" s="95">
        <v>1E+30</v>
      </c>
      <c r="H35" s="95">
        <v>57941.176470588231</v>
      </c>
    </row>
    <row r="36" spans="2:8" x14ac:dyDescent="0.3">
      <c r="B36" s="95" t="s">
        <v>135</v>
      </c>
      <c r="C36" s="95" t="s">
        <v>136</v>
      </c>
      <c r="D36" s="95">
        <v>500</v>
      </c>
      <c r="E36" s="95">
        <v>0</v>
      </c>
      <c r="F36" s="95">
        <v>80000</v>
      </c>
      <c r="G36" s="95">
        <v>1E+30</v>
      </c>
      <c r="H36" s="95">
        <v>75764.705882352937</v>
      </c>
    </row>
    <row r="37" spans="2:8" x14ac:dyDescent="0.3">
      <c r="B37" s="95" t="s">
        <v>137</v>
      </c>
      <c r="C37" s="95" t="s">
        <v>138</v>
      </c>
      <c r="D37" s="95">
        <v>2550</v>
      </c>
      <c r="E37" s="95">
        <v>0</v>
      </c>
      <c r="F37" s="95">
        <v>45000</v>
      </c>
      <c r="G37" s="95">
        <v>1E+30</v>
      </c>
      <c r="H37" s="95">
        <v>20294.117647058822</v>
      </c>
    </row>
    <row r="38" spans="2:8" x14ac:dyDescent="0.3">
      <c r="B38" s="95" t="s">
        <v>139</v>
      </c>
      <c r="C38" s="95" t="s">
        <v>140</v>
      </c>
      <c r="D38" s="95">
        <v>12182.352941176472</v>
      </c>
      <c r="E38" s="95">
        <v>0</v>
      </c>
      <c r="F38" s="95">
        <v>30000</v>
      </c>
      <c r="G38" s="95">
        <v>24642.857142857138</v>
      </c>
      <c r="H38" s="95">
        <v>30000</v>
      </c>
    </row>
    <row r="39" spans="2:8" x14ac:dyDescent="0.3">
      <c r="B39" s="95" t="s">
        <v>141</v>
      </c>
      <c r="C39" s="95" t="s">
        <v>142</v>
      </c>
      <c r="D39" s="95">
        <v>12000</v>
      </c>
      <c r="E39" s="95">
        <v>0</v>
      </c>
      <c r="F39" s="95">
        <v>55000</v>
      </c>
      <c r="G39" s="95">
        <v>1E+30</v>
      </c>
      <c r="H39" s="95">
        <v>47235.294117647063</v>
      </c>
    </row>
    <row r="40" spans="2:8" x14ac:dyDescent="0.3">
      <c r="B40" s="95" t="s">
        <v>143</v>
      </c>
      <c r="C40" s="95" t="s">
        <v>144</v>
      </c>
      <c r="D40" s="95">
        <v>6000</v>
      </c>
      <c r="E40" s="95">
        <v>0</v>
      </c>
      <c r="F40" s="95">
        <v>65000</v>
      </c>
      <c r="G40" s="95">
        <v>1E+30</v>
      </c>
      <c r="H40" s="95">
        <v>56176.470588235301</v>
      </c>
    </row>
    <row r="41" spans="2:8" x14ac:dyDescent="0.3">
      <c r="B41" s="95" t="s">
        <v>145</v>
      </c>
      <c r="C41" s="95" t="s">
        <v>146</v>
      </c>
      <c r="D41" s="95">
        <v>2000</v>
      </c>
      <c r="E41" s="95">
        <v>0</v>
      </c>
      <c r="F41" s="95">
        <v>80000</v>
      </c>
      <c r="G41" s="95">
        <v>1E+30</v>
      </c>
      <c r="H41" s="95">
        <v>69411.764705882335</v>
      </c>
    </row>
    <row r="42" spans="2:8" x14ac:dyDescent="0.3">
      <c r="B42" s="95" t="s">
        <v>147</v>
      </c>
      <c r="C42" s="95" t="s">
        <v>148</v>
      </c>
      <c r="D42" s="95">
        <v>1199.9999999999982</v>
      </c>
      <c r="E42" s="95">
        <v>0</v>
      </c>
      <c r="F42" s="95">
        <v>45000</v>
      </c>
      <c r="G42" s="95">
        <v>1E+30</v>
      </c>
      <c r="H42" s="95">
        <v>20294.117647058814</v>
      </c>
    </row>
    <row r="43" spans="2:8" x14ac:dyDescent="0.3">
      <c r="B43" s="95" t="s">
        <v>149</v>
      </c>
      <c r="C43" s="95" t="s">
        <v>150</v>
      </c>
      <c r="D43" s="95">
        <v>10494.117647058822</v>
      </c>
      <c r="E43" s="95">
        <v>0</v>
      </c>
      <c r="F43" s="95">
        <v>30000</v>
      </c>
      <c r="G43" s="95">
        <v>24642.857142857141</v>
      </c>
      <c r="H43" s="95">
        <v>30000.000000000007</v>
      </c>
    </row>
    <row r="44" spans="2:8" x14ac:dyDescent="0.3">
      <c r="B44" s="95" t="s">
        <v>151</v>
      </c>
      <c r="C44" s="95" t="s">
        <v>152</v>
      </c>
      <c r="D44" s="95">
        <v>12000</v>
      </c>
      <c r="E44" s="95">
        <v>0</v>
      </c>
      <c r="F44" s="95">
        <v>55000</v>
      </c>
      <c r="G44" s="95">
        <v>1E+30</v>
      </c>
      <c r="H44" s="95">
        <v>47235.294117647049</v>
      </c>
    </row>
    <row r="45" spans="2:8" x14ac:dyDescent="0.3">
      <c r="B45" s="95" t="s">
        <v>153</v>
      </c>
      <c r="C45" s="95" t="s">
        <v>154</v>
      </c>
      <c r="D45" s="95">
        <v>8000</v>
      </c>
      <c r="E45" s="95">
        <v>0</v>
      </c>
      <c r="F45" s="95">
        <v>65000</v>
      </c>
      <c r="G45" s="95">
        <v>1E+30</v>
      </c>
      <c r="H45" s="95">
        <v>55117.647058823517</v>
      </c>
    </row>
    <row r="46" spans="2:8" x14ac:dyDescent="0.3">
      <c r="B46" s="95" t="s">
        <v>155</v>
      </c>
      <c r="C46" s="95" t="s">
        <v>156</v>
      </c>
      <c r="D46" s="95">
        <v>500</v>
      </c>
      <c r="E46" s="95">
        <v>0</v>
      </c>
      <c r="F46" s="95">
        <v>80000</v>
      </c>
      <c r="G46" s="95">
        <v>1E+30</v>
      </c>
      <c r="H46" s="95">
        <v>74705.88235294116</v>
      </c>
    </row>
    <row r="47" spans="2:8" x14ac:dyDescent="0.3">
      <c r="B47" s="95" t="s">
        <v>157</v>
      </c>
      <c r="C47" s="95" t="s">
        <v>158</v>
      </c>
      <c r="D47" s="95">
        <v>2250</v>
      </c>
      <c r="E47" s="95">
        <v>0</v>
      </c>
      <c r="F47" s="95">
        <v>45000</v>
      </c>
      <c r="G47" s="95">
        <v>1E+30</v>
      </c>
      <c r="H47" s="95">
        <v>20294.117647058862</v>
      </c>
    </row>
    <row r="48" spans="2:8" x14ac:dyDescent="0.3">
      <c r="B48" s="95" t="s">
        <v>159</v>
      </c>
      <c r="C48" s="95" t="s">
        <v>160</v>
      </c>
      <c r="D48" s="95">
        <v>7611.7647058823541</v>
      </c>
      <c r="E48" s="95">
        <v>0</v>
      </c>
      <c r="F48" s="95">
        <v>30000</v>
      </c>
      <c r="G48" s="95">
        <v>24642.857142857189</v>
      </c>
      <c r="H48" s="95">
        <v>29999.999999999971</v>
      </c>
    </row>
    <row r="49" spans="1:8" x14ac:dyDescent="0.3">
      <c r="B49" s="95" t="s">
        <v>161</v>
      </c>
      <c r="C49" s="95" t="s">
        <v>162</v>
      </c>
      <c r="D49" s="95">
        <v>800</v>
      </c>
      <c r="E49" s="95">
        <v>0</v>
      </c>
      <c r="F49" s="95">
        <v>55000</v>
      </c>
      <c r="G49" s="95">
        <v>1E+30</v>
      </c>
      <c r="H49" s="95">
        <v>48647.058823529427</v>
      </c>
    </row>
    <row r="50" spans="1:8" x14ac:dyDescent="0.3">
      <c r="B50" s="95" t="s">
        <v>163</v>
      </c>
      <c r="C50" s="95" t="s">
        <v>164</v>
      </c>
      <c r="D50" s="95">
        <v>399.99999999999994</v>
      </c>
      <c r="E50" s="95">
        <v>0</v>
      </c>
      <c r="F50" s="95">
        <v>65000</v>
      </c>
      <c r="G50" s="95">
        <v>1E+30</v>
      </c>
      <c r="H50" s="95">
        <v>60764.705882352959</v>
      </c>
    </row>
    <row r="51" spans="1:8" x14ac:dyDescent="0.3">
      <c r="B51" s="95" t="s">
        <v>165</v>
      </c>
      <c r="C51" s="95" t="s">
        <v>166</v>
      </c>
      <c r="D51" s="95">
        <v>4000</v>
      </c>
      <c r="E51" s="95">
        <v>0</v>
      </c>
      <c r="F51" s="95">
        <v>80000</v>
      </c>
      <c r="G51" s="95">
        <v>1E+30</v>
      </c>
      <c r="H51" s="95">
        <v>64117.647058823553</v>
      </c>
    </row>
    <row r="52" spans="1:8" x14ac:dyDescent="0.3">
      <c r="B52" s="95" t="s">
        <v>167</v>
      </c>
      <c r="C52" s="95" t="s">
        <v>168</v>
      </c>
      <c r="D52" s="95">
        <v>9.1304741545172874E-13</v>
      </c>
      <c r="E52" s="95">
        <v>0</v>
      </c>
      <c r="F52" s="95">
        <v>45000</v>
      </c>
      <c r="G52" s="95">
        <v>1E+30</v>
      </c>
      <c r="H52" s="95">
        <v>20294.117647058847</v>
      </c>
    </row>
    <row r="53" spans="1:8" x14ac:dyDescent="0.3">
      <c r="B53" s="95" t="s">
        <v>169</v>
      </c>
      <c r="C53" s="95" t="s">
        <v>170</v>
      </c>
      <c r="D53" s="95">
        <v>9.4117647058813318</v>
      </c>
      <c r="E53" s="95">
        <v>0</v>
      </c>
      <c r="F53" s="95">
        <v>30000</v>
      </c>
      <c r="G53" s="95">
        <v>24642.857142857174</v>
      </c>
      <c r="H53" s="95">
        <v>29999.999999999967</v>
      </c>
    </row>
    <row r="54" spans="1:8" x14ac:dyDescent="0.3">
      <c r="B54" s="95" t="s">
        <v>171</v>
      </c>
      <c r="C54" s="95" t="s">
        <v>172</v>
      </c>
      <c r="D54" s="95">
        <v>500</v>
      </c>
      <c r="E54" s="95">
        <v>0</v>
      </c>
      <c r="F54" s="95">
        <v>55000</v>
      </c>
      <c r="G54" s="95">
        <v>1E+30</v>
      </c>
      <c r="H54" s="95">
        <v>49000</v>
      </c>
    </row>
    <row r="55" spans="1:8" x14ac:dyDescent="0.3">
      <c r="B55" s="95" t="s">
        <v>173</v>
      </c>
      <c r="C55" s="95" t="s">
        <v>174</v>
      </c>
      <c r="D55" s="95">
        <v>200</v>
      </c>
      <c r="E55" s="95">
        <v>0</v>
      </c>
      <c r="F55" s="95">
        <v>65000</v>
      </c>
      <c r="G55" s="95">
        <v>1E+30</v>
      </c>
      <c r="H55" s="95">
        <v>61470.588235294133</v>
      </c>
    </row>
    <row r="56" spans="1:8" x14ac:dyDescent="0.3">
      <c r="B56" s="95" t="s">
        <v>175</v>
      </c>
      <c r="C56" s="95" t="s">
        <v>176</v>
      </c>
      <c r="D56" s="95">
        <v>1500</v>
      </c>
      <c r="E56" s="95">
        <v>0</v>
      </c>
      <c r="F56" s="95">
        <v>80000</v>
      </c>
      <c r="G56" s="95">
        <v>1E+30</v>
      </c>
      <c r="H56" s="95">
        <v>67647.058823529427</v>
      </c>
    </row>
    <row r="57" spans="1:8" x14ac:dyDescent="0.3">
      <c r="B57" s="95" t="s">
        <v>177</v>
      </c>
      <c r="C57" s="95" t="s">
        <v>178</v>
      </c>
      <c r="D57" s="95">
        <v>150</v>
      </c>
      <c r="E57" s="95">
        <v>0</v>
      </c>
      <c r="F57" s="95">
        <v>45000</v>
      </c>
      <c r="G57" s="95">
        <v>1E+30</v>
      </c>
      <c r="H57" s="95">
        <v>20294.117647058814</v>
      </c>
    </row>
    <row r="58" spans="1:8" ht="15" thickBot="1" x14ac:dyDescent="0.35">
      <c r="B58" s="96" t="s">
        <v>179</v>
      </c>
      <c r="C58" s="96" t="s">
        <v>180</v>
      </c>
      <c r="D58" s="96">
        <v>2076.4705882352937</v>
      </c>
      <c r="E58" s="96">
        <v>0</v>
      </c>
      <c r="F58" s="96">
        <v>30000</v>
      </c>
      <c r="G58" s="96">
        <v>24642.857142857141</v>
      </c>
      <c r="H58" s="96">
        <v>30000.000000000007</v>
      </c>
    </row>
    <row r="60" spans="1:8" ht="15" thickBot="1" x14ac:dyDescent="0.35">
      <c r="A60" t="s">
        <v>48</v>
      </c>
    </row>
    <row r="61" spans="1:8" x14ac:dyDescent="0.3">
      <c r="B61" s="97"/>
      <c r="C61" s="97"/>
      <c r="D61" s="97" t="s">
        <v>69</v>
      </c>
      <c r="E61" s="97" t="s">
        <v>77</v>
      </c>
      <c r="F61" s="97" t="s">
        <v>79</v>
      </c>
      <c r="G61" s="97" t="s">
        <v>74</v>
      </c>
      <c r="H61" s="97" t="s">
        <v>74</v>
      </c>
    </row>
    <row r="62" spans="1:8" ht="15" thickBot="1" x14ac:dyDescent="0.35">
      <c r="B62" s="98" t="s">
        <v>67</v>
      </c>
      <c r="C62" s="98" t="s">
        <v>68</v>
      </c>
      <c r="D62" s="98" t="s">
        <v>70</v>
      </c>
      <c r="E62" s="98" t="s">
        <v>78</v>
      </c>
      <c r="F62" s="98" t="s">
        <v>80</v>
      </c>
      <c r="G62" s="98" t="s">
        <v>75</v>
      </c>
      <c r="H62" s="98" t="s">
        <v>76</v>
      </c>
    </row>
    <row r="63" spans="1:8" x14ac:dyDescent="0.3">
      <c r="B63" s="95" t="s">
        <v>265</v>
      </c>
      <c r="C63" s="95" t="s">
        <v>182</v>
      </c>
      <c r="D63" s="95">
        <v>2000</v>
      </c>
      <c r="E63" s="95">
        <v>0</v>
      </c>
      <c r="F63" s="95">
        <v>5000</v>
      </c>
      <c r="G63" s="95">
        <v>1E+30</v>
      </c>
      <c r="H63" s="95">
        <v>3000</v>
      </c>
    </row>
    <row r="64" spans="1:8" x14ac:dyDescent="0.3">
      <c r="B64" s="95" t="s">
        <v>266</v>
      </c>
      <c r="C64" s="95" t="s">
        <v>184</v>
      </c>
      <c r="D64" s="95">
        <v>5000</v>
      </c>
      <c r="E64" s="95">
        <v>0</v>
      </c>
      <c r="F64" s="95">
        <v>10000</v>
      </c>
      <c r="G64" s="95">
        <v>1E+30</v>
      </c>
      <c r="H64" s="95">
        <v>5000</v>
      </c>
    </row>
    <row r="65" spans="2:8" x14ac:dyDescent="0.3">
      <c r="B65" s="95" t="s">
        <v>267</v>
      </c>
      <c r="C65" s="95" t="s">
        <v>186</v>
      </c>
      <c r="D65" s="95">
        <v>12000</v>
      </c>
      <c r="E65" s="95">
        <v>0</v>
      </c>
      <c r="F65" s="95">
        <v>35000</v>
      </c>
      <c r="G65" s="95">
        <v>1E+30</v>
      </c>
      <c r="H65" s="95">
        <v>23000</v>
      </c>
    </row>
    <row r="66" spans="2:8" x14ac:dyDescent="0.3">
      <c r="B66" s="95" t="s">
        <v>268</v>
      </c>
      <c r="C66" s="95" t="s">
        <v>188</v>
      </c>
      <c r="D66" s="95">
        <v>15000</v>
      </c>
      <c r="E66" s="95">
        <v>0</v>
      </c>
      <c r="F66" s="95">
        <v>30000</v>
      </c>
      <c r="G66" s="95">
        <v>1E+30</v>
      </c>
      <c r="H66" s="95">
        <v>15000</v>
      </c>
    </row>
    <row r="67" spans="2:8" x14ac:dyDescent="0.3">
      <c r="B67" s="95" t="s">
        <v>269</v>
      </c>
      <c r="C67" s="95" t="s">
        <v>190</v>
      </c>
      <c r="D67" s="95">
        <v>8000</v>
      </c>
      <c r="E67" s="95">
        <v>0</v>
      </c>
      <c r="F67" s="95">
        <v>10000</v>
      </c>
      <c r="G67" s="95">
        <v>1E+30</v>
      </c>
      <c r="H67" s="95">
        <v>2000</v>
      </c>
    </row>
    <row r="68" spans="2:8" x14ac:dyDescent="0.3">
      <c r="B68" s="95" t="s">
        <v>270</v>
      </c>
      <c r="C68" s="95" t="s">
        <v>192</v>
      </c>
      <c r="D68" s="95">
        <v>3000</v>
      </c>
      <c r="E68" s="95">
        <v>0</v>
      </c>
      <c r="F68" s="95">
        <v>8000</v>
      </c>
      <c r="G68" s="95">
        <v>1E+30</v>
      </c>
      <c r="H68" s="95">
        <v>5000</v>
      </c>
    </row>
    <row r="69" spans="2:8" x14ac:dyDescent="0.3">
      <c r="B69" s="95" t="s">
        <v>271</v>
      </c>
      <c r="C69" s="95" t="s">
        <v>194</v>
      </c>
      <c r="D69" s="95">
        <v>6000</v>
      </c>
      <c r="E69" s="95">
        <v>0</v>
      </c>
      <c r="F69" s="95">
        <v>15000</v>
      </c>
      <c r="G69" s="95">
        <v>1E+30</v>
      </c>
      <c r="H69" s="95">
        <v>9000</v>
      </c>
    </row>
    <row r="70" spans="2:8" x14ac:dyDescent="0.3">
      <c r="B70" s="95" t="s">
        <v>272</v>
      </c>
      <c r="C70" s="95" t="s">
        <v>196</v>
      </c>
      <c r="D70" s="95">
        <v>8000</v>
      </c>
      <c r="E70" s="95">
        <v>0</v>
      </c>
      <c r="F70" s="95">
        <v>20000</v>
      </c>
      <c r="G70" s="95">
        <v>1E+30</v>
      </c>
      <c r="H70" s="95">
        <v>12000</v>
      </c>
    </row>
    <row r="71" spans="2:8" x14ac:dyDescent="0.3">
      <c r="B71" s="95" t="s">
        <v>273</v>
      </c>
      <c r="C71" s="95" t="s">
        <v>198</v>
      </c>
      <c r="D71" s="95">
        <v>399.99999999999994</v>
      </c>
      <c r="E71" s="95">
        <v>0</v>
      </c>
      <c r="F71" s="95">
        <v>1000</v>
      </c>
      <c r="G71" s="95">
        <v>1E+30</v>
      </c>
      <c r="H71" s="95">
        <v>600</v>
      </c>
    </row>
    <row r="72" spans="2:8" x14ac:dyDescent="0.3">
      <c r="B72" s="95" t="s">
        <v>274</v>
      </c>
      <c r="C72" s="95" t="s">
        <v>200</v>
      </c>
      <c r="D72" s="95">
        <v>200</v>
      </c>
      <c r="E72" s="95">
        <v>0</v>
      </c>
      <c r="F72" s="95">
        <v>1000</v>
      </c>
      <c r="G72" s="95">
        <v>1E+30</v>
      </c>
      <c r="H72" s="95">
        <v>800</v>
      </c>
    </row>
    <row r="73" spans="2:8" x14ac:dyDescent="0.3">
      <c r="B73" s="95" t="s">
        <v>181</v>
      </c>
      <c r="C73" s="95" t="s">
        <v>182</v>
      </c>
      <c r="D73" s="95">
        <v>27999.999999999996</v>
      </c>
      <c r="E73" s="95">
        <v>35294.117647058818</v>
      </c>
      <c r="F73" s="95">
        <v>28000</v>
      </c>
      <c r="G73" s="95">
        <v>1E+30</v>
      </c>
      <c r="H73" s="95">
        <v>18252.500000000156</v>
      </c>
    </row>
    <row r="74" spans="2:8" x14ac:dyDescent="0.3">
      <c r="B74" s="95" t="s">
        <v>183</v>
      </c>
      <c r="C74" s="95" t="s">
        <v>184</v>
      </c>
      <c r="D74" s="95">
        <v>32000</v>
      </c>
      <c r="E74" s="95">
        <v>35294.117647058745</v>
      </c>
      <c r="F74" s="95">
        <v>32000</v>
      </c>
      <c r="G74" s="95">
        <v>1E+30</v>
      </c>
      <c r="H74" s="95">
        <v>21347.499999999691</v>
      </c>
    </row>
    <row r="75" spans="2:8" x14ac:dyDescent="0.3">
      <c r="B75" s="95" t="s">
        <v>185</v>
      </c>
      <c r="C75" s="95" t="s">
        <v>186</v>
      </c>
      <c r="D75" s="95">
        <v>20000</v>
      </c>
      <c r="E75" s="95">
        <v>35294.117647058818</v>
      </c>
      <c r="F75" s="95">
        <v>20000</v>
      </c>
      <c r="G75" s="95">
        <v>1E+30</v>
      </c>
      <c r="H75" s="95">
        <v>10502.500000000155</v>
      </c>
    </row>
    <row r="76" spans="2:8" x14ac:dyDescent="0.3">
      <c r="B76" s="95" t="s">
        <v>187</v>
      </c>
      <c r="C76" s="95" t="s">
        <v>188</v>
      </c>
      <c r="D76" s="95">
        <v>22000</v>
      </c>
      <c r="E76" s="95">
        <v>35294.117647058825</v>
      </c>
      <c r="F76" s="95">
        <v>22000</v>
      </c>
      <c r="G76" s="95">
        <v>1E+30</v>
      </c>
      <c r="H76" s="95">
        <v>6627.5999999999876</v>
      </c>
    </row>
    <row r="77" spans="2:8" x14ac:dyDescent="0.3">
      <c r="B77" s="95" t="s">
        <v>189</v>
      </c>
      <c r="C77" s="95" t="s">
        <v>190</v>
      </c>
      <c r="D77" s="95">
        <v>19000</v>
      </c>
      <c r="E77" s="95">
        <v>35294.117647058818</v>
      </c>
      <c r="F77" s="95">
        <v>19000</v>
      </c>
      <c r="G77" s="95">
        <v>1E+30</v>
      </c>
      <c r="H77" s="95">
        <v>4076.0000000000296</v>
      </c>
    </row>
    <row r="78" spans="2:8" x14ac:dyDescent="0.3">
      <c r="B78" s="95" t="s">
        <v>191</v>
      </c>
      <c r="C78" s="95" t="s">
        <v>192</v>
      </c>
      <c r="D78" s="95">
        <v>15000.000000000002</v>
      </c>
      <c r="E78" s="95">
        <v>35294.117647058833</v>
      </c>
      <c r="F78" s="95">
        <v>15000</v>
      </c>
      <c r="G78" s="95">
        <v>1E+30</v>
      </c>
      <c r="H78" s="95">
        <v>9385.9999999999527</v>
      </c>
    </row>
    <row r="79" spans="2:8" x14ac:dyDescent="0.3">
      <c r="B79" s="95" t="s">
        <v>193</v>
      </c>
      <c r="C79" s="95" t="s">
        <v>194</v>
      </c>
      <c r="D79" s="95">
        <v>14499.999999999996</v>
      </c>
      <c r="E79" s="95">
        <v>35294.117647058825</v>
      </c>
      <c r="F79" s="95">
        <v>14500</v>
      </c>
      <c r="G79" s="95">
        <v>1E+30</v>
      </c>
      <c r="H79" s="95">
        <v>7368.7500000003156</v>
      </c>
    </row>
    <row r="80" spans="2:8" x14ac:dyDescent="0.3">
      <c r="B80" s="95" t="s">
        <v>195</v>
      </c>
      <c r="C80" s="95" t="s">
        <v>196</v>
      </c>
      <c r="D80" s="95">
        <v>13000</v>
      </c>
      <c r="E80" s="95">
        <v>35294.117647058789</v>
      </c>
      <c r="F80" s="95">
        <v>13000</v>
      </c>
      <c r="G80" s="95">
        <v>1E+30</v>
      </c>
      <c r="H80" s="95">
        <v>5683.7500000000409</v>
      </c>
    </row>
    <row r="81" spans="2:8" x14ac:dyDescent="0.3">
      <c r="B81" s="95" t="s">
        <v>197</v>
      </c>
      <c r="C81" s="95" t="s">
        <v>198</v>
      </c>
      <c r="D81" s="95">
        <v>1999.9999999999998</v>
      </c>
      <c r="E81" s="95">
        <v>35294.117647058782</v>
      </c>
      <c r="F81" s="95">
        <v>2000</v>
      </c>
      <c r="G81" s="95">
        <v>1E+30</v>
      </c>
      <c r="H81" s="95">
        <v>7.9999999999991331</v>
      </c>
    </row>
    <row r="82" spans="2:8" x14ac:dyDescent="0.3">
      <c r="B82" s="95" t="s">
        <v>199</v>
      </c>
      <c r="C82" s="95" t="s">
        <v>200</v>
      </c>
      <c r="D82" s="95">
        <v>2499.9999999999995</v>
      </c>
      <c r="E82" s="95">
        <v>35294.117647058825</v>
      </c>
      <c r="F82" s="95">
        <v>2500</v>
      </c>
      <c r="G82" s="95">
        <v>1E+30</v>
      </c>
      <c r="H82" s="95">
        <v>1765</v>
      </c>
    </row>
    <row r="83" spans="2:8" x14ac:dyDescent="0.3">
      <c r="B83" s="95" t="s">
        <v>201</v>
      </c>
      <c r="C83" s="95" t="s">
        <v>182</v>
      </c>
      <c r="D83" s="95">
        <v>5400</v>
      </c>
      <c r="E83" s="95">
        <v>0</v>
      </c>
      <c r="F83" s="95">
        <v>0</v>
      </c>
      <c r="G83" s="95">
        <v>1E+30</v>
      </c>
      <c r="H83" s="95">
        <v>15769.411764705877</v>
      </c>
    </row>
    <row r="84" spans="2:8" x14ac:dyDescent="0.3">
      <c r="B84" s="95" t="s">
        <v>202</v>
      </c>
      <c r="C84" s="95" t="s">
        <v>184</v>
      </c>
      <c r="D84" s="95">
        <v>4800.0000000000036</v>
      </c>
      <c r="E84" s="95">
        <v>0</v>
      </c>
      <c r="F84" s="95">
        <v>0</v>
      </c>
      <c r="G84" s="95">
        <v>1E+30</v>
      </c>
      <c r="H84" s="95">
        <v>16785.882352941171</v>
      </c>
    </row>
    <row r="85" spans="2:8" x14ac:dyDescent="0.3">
      <c r="B85" s="95" t="s">
        <v>203</v>
      </c>
      <c r="C85" s="95" t="s">
        <v>186</v>
      </c>
      <c r="D85" s="95">
        <v>2400</v>
      </c>
      <c r="E85" s="95">
        <v>0</v>
      </c>
      <c r="F85" s="95">
        <v>0</v>
      </c>
      <c r="G85" s="95">
        <v>1E+30</v>
      </c>
      <c r="H85" s="95">
        <v>13522.352941176465</v>
      </c>
    </row>
    <row r="86" spans="2:8" x14ac:dyDescent="0.3">
      <c r="B86" s="95" t="s">
        <v>204</v>
      </c>
      <c r="C86" s="95" t="s">
        <v>188</v>
      </c>
      <c r="D86" s="95">
        <v>2700</v>
      </c>
      <c r="E86" s="95">
        <v>0</v>
      </c>
      <c r="F86" s="95">
        <v>0</v>
      </c>
      <c r="G86" s="95">
        <v>1E+30</v>
      </c>
      <c r="H86" s="95">
        <v>20692.470588235294</v>
      </c>
    </row>
    <row r="87" spans="2:8" x14ac:dyDescent="0.3">
      <c r="B87" s="95" t="s">
        <v>205</v>
      </c>
      <c r="C87" s="95" t="s">
        <v>190</v>
      </c>
      <c r="D87" s="95">
        <v>2100</v>
      </c>
      <c r="E87" s="95">
        <v>0</v>
      </c>
      <c r="F87" s="95">
        <v>0</v>
      </c>
      <c r="G87" s="95">
        <v>1E+30</v>
      </c>
      <c r="H87" s="95">
        <v>20994.117647058822</v>
      </c>
    </row>
    <row r="88" spans="2:8" x14ac:dyDescent="0.3">
      <c r="B88" s="95" t="s">
        <v>206</v>
      </c>
      <c r="C88" s="95" t="s">
        <v>192</v>
      </c>
      <c r="D88" s="95">
        <v>2550</v>
      </c>
      <c r="E88" s="95">
        <v>0</v>
      </c>
      <c r="F88" s="95">
        <v>0</v>
      </c>
      <c r="G88" s="95">
        <v>1E+30</v>
      </c>
      <c r="H88" s="95">
        <v>8742.9411764705874</v>
      </c>
    </row>
    <row r="89" spans="2:8" x14ac:dyDescent="0.3">
      <c r="B89" s="95" t="s">
        <v>207</v>
      </c>
      <c r="C89" s="95" t="s">
        <v>194</v>
      </c>
      <c r="D89" s="95">
        <v>1199.9999999999982</v>
      </c>
      <c r="E89" s="95">
        <v>0</v>
      </c>
      <c r="F89" s="95">
        <v>0</v>
      </c>
      <c r="G89" s="95">
        <v>1E+30</v>
      </c>
      <c r="H89" s="95">
        <v>11477.647058823528</v>
      </c>
    </row>
    <row r="90" spans="2:8" x14ac:dyDescent="0.3">
      <c r="B90" s="95" t="s">
        <v>208</v>
      </c>
      <c r="C90" s="95" t="s">
        <v>196</v>
      </c>
      <c r="D90" s="95">
        <v>2250</v>
      </c>
      <c r="E90" s="95">
        <v>0</v>
      </c>
      <c r="F90" s="95">
        <v>0</v>
      </c>
      <c r="G90" s="95">
        <v>1E+30</v>
      </c>
      <c r="H90" s="95">
        <v>9894.7058823529405</v>
      </c>
    </row>
    <row r="91" spans="2:8" x14ac:dyDescent="0.3">
      <c r="B91" s="95" t="s">
        <v>209</v>
      </c>
      <c r="C91" s="95" t="s">
        <v>198</v>
      </c>
      <c r="D91" s="95">
        <v>9.1304741545172874E-13</v>
      </c>
      <c r="E91" s="95">
        <v>0</v>
      </c>
      <c r="F91" s="95">
        <v>0</v>
      </c>
      <c r="G91" s="95">
        <v>1E+30</v>
      </c>
      <c r="H91" s="95">
        <v>2083.7647058823527</v>
      </c>
    </row>
    <row r="92" spans="2:8" x14ac:dyDescent="0.3">
      <c r="B92" s="95" t="s">
        <v>210</v>
      </c>
      <c r="C92" s="95" t="s">
        <v>200</v>
      </c>
      <c r="D92" s="95">
        <v>150</v>
      </c>
      <c r="E92" s="95">
        <v>0</v>
      </c>
      <c r="F92" s="95">
        <v>0</v>
      </c>
      <c r="G92" s="95">
        <v>1E+30</v>
      </c>
      <c r="H92" s="95">
        <v>1620.5882352941173</v>
      </c>
    </row>
    <row r="93" spans="2:8" x14ac:dyDescent="0.3">
      <c r="B93" s="95" t="s">
        <v>211</v>
      </c>
      <c r="C93" s="95" t="s">
        <v>182</v>
      </c>
      <c r="D93" s="95">
        <v>5400</v>
      </c>
      <c r="E93" s="95">
        <v>20294.117647058825</v>
      </c>
      <c r="F93" s="95">
        <v>5400</v>
      </c>
      <c r="G93" s="95">
        <v>16967.088607594931</v>
      </c>
      <c r="H93" s="95">
        <v>5400</v>
      </c>
    </row>
    <row r="94" spans="2:8" x14ac:dyDescent="0.3">
      <c r="B94" s="95" t="s">
        <v>212</v>
      </c>
      <c r="C94" s="95" t="s">
        <v>184</v>
      </c>
      <c r="D94" s="95">
        <v>4800.0000000000036</v>
      </c>
      <c r="E94" s="95">
        <v>20294.117647058865</v>
      </c>
      <c r="F94" s="95">
        <v>4800</v>
      </c>
      <c r="G94" s="95">
        <v>18060.759493670885</v>
      </c>
      <c r="H94" s="95">
        <v>4800.0000000000036</v>
      </c>
    </row>
    <row r="95" spans="2:8" x14ac:dyDescent="0.3">
      <c r="B95" s="95" t="s">
        <v>213</v>
      </c>
      <c r="C95" s="95" t="s">
        <v>186</v>
      </c>
      <c r="D95" s="95">
        <v>2400</v>
      </c>
      <c r="E95" s="95">
        <v>20294.117647058833</v>
      </c>
      <c r="F95" s="95">
        <v>2400</v>
      </c>
      <c r="G95" s="95">
        <v>14549.367088607591</v>
      </c>
      <c r="H95" s="95">
        <v>2400</v>
      </c>
    </row>
    <row r="96" spans="2:8" x14ac:dyDescent="0.3">
      <c r="B96" s="95" t="s">
        <v>214</v>
      </c>
      <c r="C96" s="95" t="s">
        <v>188</v>
      </c>
      <c r="D96" s="95">
        <v>2700</v>
      </c>
      <c r="E96" s="95">
        <v>20294.117647058818</v>
      </c>
      <c r="F96" s="95">
        <v>2700</v>
      </c>
      <c r="G96" s="95">
        <v>12848.571428571429</v>
      </c>
      <c r="H96" s="95">
        <v>2700</v>
      </c>
    </row>
    <row r="97" spans="2:8" x14ac:dyDescent="0.3">
      <c r="B97" s="95" t="s">
        <v>215</v>
      </c>
      <c r="C97" s="95" t="s">
        <v>190</v>
      </c>
      <c r="D97" s="95">
        <v>2100</v>
      </c>
      <c r="E97" s="95">
        <v>20294.117647058825</v>
      </c>
      <c r="F97" s="95">
        <v>2100</v>
      </c>
      <c r="G97" s="95">
        <v>9028.5714285714275</v>
      </c>
      <c r="H97" s="95">
        <v>2100</v>
      </c>
    </row>
    <row r="98" spans="2:8" x14ac:dyDescent="0.3">
      <c r="B98" s="95" t="s">
        <v>216</v>
      </c>
      <c r="C98" s="95" t="s">
        <v>192</v>
      </c>
      <c r="D98" s="95">
        <v>2550</v>
      </c>
      <c r="E98" s="95">
        <v>20294.117647058822</v>
      </c>
      <c r="F98" s="95">
        <v>2550</v>
      </c>
      <c r="G98" s="95">
        <v>9406.9620253164539</v>
      </c>
      <c r="H98" s="95">
        <v>2550</v>
      </c>
    </row>
    <row r="99" spans="2:8" x14ac:dyDescent="0.3">
      <c r="B99" s="95" t="s">
        <v>217</v>
      </c>
      <c r="C99" s="95" t="s">
        <v>194</v>
      </c>
      <c r="D99" s="95">
        <v>1199.9999999999982</v>
      </c>
      <c r="E99" s="95">
        <v>20294.117647058814</v>
      </c>
      <c r="F99" s="95">
        <v>1200</v>
      </c>
      <c r="G99" s="95">
        <v>12349.367088607596</v>
      </c>
      <c r="H99" s="95">
        <v>1199.9999999999982</v>
      </c>
    </row>
    <row r="100" spans="2:8" x14ac:dyDescent="0.3">
      <c r="B100" s="95" t="s">
        <v>218</v>
      </c>
      <c r="C100" s="95" t="s">
        <v>196</v>
      </c>
      <c r="D100" s="95">
        <v>2250</v>
      </c>
      <c r="E100" s="95">
        <v>20294.117647058862</v>
      </c>
      <c r="F100" s="95">
        <v>2250</v>
      </c>
      <c r="G100" s="95">
        <v>9242.8571428571431</v>
      </c>
      <c r="H100" s="95">
        <v>2250</v>
      </c>
    </row>
    <row r="101" spans="2:8" x14ac:dyDescent="0.3">
      <c r="B101" s="95" t="s">
        <v>219</v>
      </c>
      <c r="C101" s="95" t="s">
        <v>198</v>
      </c>
      <c r="D101" s="95">
        <v>9.1304741545172874E-13</v>
      </c>
      <c r="E101" s="95">
        <v>20294.11764705884</v>
      </c>
      <c r="F101" s="95">
        <v>0</v>
      </c>
      <c r="G101" s="95">
        <v>11.428571428570194</v>
      </c>
      <c r="H101" s="95">
        <v>9.1304741545172914E-13</v>
      </c>
    </row>
    <row r="102" spans="2:8" x14ac:dyDescent="0.3">
      <c r="B102" s="95" t="s">
        <v>220</v>
      </c>
      <c r="C102" s="95" t="s">
        <v>200</v>
      </c>
      <c r="D102" s="95">
        <v>150</v>
      </c>
      <c r="E102" s="95">
        <v>20294.117647058814</v>
      </c>
      <c r="F102" s="95">
        <v>150</v>
      </c>
      <c r="G102" s="95">
        <v>1743.6708860759495</v>
      </c>
      <c r="H102" s="95">
        <v>150</v>
      </c>
    </row>
    <row r="103" spans="2:8" x14ac:dyDescent="0.3">
      <c r="B103" s="95" t="s">
        <v>221</v>
      </c>
      <c r="C103" s="95" t="s">
        <v>182</v>
      </c>
      <c r="D103" s="95">
        <v>7000</v>
      </c>
      <c r="E103" s="95">
        <v>0</v>
      </c>
      <c r="F103" s="95">
        <v>0</v>
      </c>
      <c r="G103" s="95">
        <v>1E+30</v>
      </c>
      <c r="H103" s="95">
        <v>21473.529411764885</v>
      </c>
    </row>
    <row r="104" spans="2:8" x14ac:dyDescent="0.3">
      <c r="B104" s="95" t="s">
        <v>222</v>
      </c>
      <c r="C104" s="95" t="s">
        <v>184</v>
      </c>
      <c r="D104" s="95">
        <v>8000</v>
      </c>
      <c r="E104" s="95">
        <v>0</v>
      </c>
      <c r="F104" s="95">
        <v>0</v>
      </c>
      <c r="G104" s="95">
        <v>1E+30</v>
      </c>
      <c r="H104" s="95">
        <v>25114.705882352577</v>
      </c>
    </row>
    <row r="105" spans="2:8" x14ac:dyDescent="0.3">
      <c r="B105" s="95" t="s">
        <v>223</v>
      </c>
      <c r="C105" s="95" t="s">
        <v>186</v>
      </c>
      <c r="D105" s="95">
        <v>5000</v>
      </c>
      <c r="E105" s="95">
        <v>0</v>
      </c>
      <c r="F105" s="95">
        <v>0</v>
      </c>
      <c r="G105" s="95">
        <v>1E+30</v>
      </c>
      <c r="H105" s="95">
        <v>12355.882352941357</v>
      </c>
    </row>
    <row r="106" spans="2:8" x14ac:dyDescent="0.3">
      <c r="B106" s="95" t="s">
        <v>224</v>
      </c>
      <c r="C106" s="95" t="s">
        <v>188</v>
      </c>
      <c r="D106" s="95">
        <v>5500</v>
      </c>
      <c r="E106" s="95">
        <v>0</v>
      </c>
      <c r="F106" s="95">
        <v>0</v>
      </c>
      <c r="G106" s="95">
        <v>1E+30</v>
      </c>
      <c r="H106" s="95">
        <v>7797.1764705882215</v>
      </c>
    </row>
    <row r="107" spans="2:8" x14ac:dyDescent="0.3">
      <c r="B107" s="95" t="s">
        <v>225</v>
      </c>
      <c r="C107" s="95" t="s">
        <v>190</v>
      </c>
      <c r="D107" s="95">
        <v>4750</v>
      </c>
      <c r="E107" s="95">
        <v>0</v>
      </c>
      <c r="F107" s="95">
        <v>0</v>
      </c>
      <c r="G107" s="95">
        <v>1E+30</v>
      </c>
      <c r="H107" s="95">
        <v>4795.2941176470931</v>
      </c>
    </row>
    <row r="108" spans="2:8" x14ac:dyDescent="0.3">
      <c r="B108" s="95" t="s">
        <v>226</v>
      </c>
      <c r="C108" s="95" t="s">
        <v>192</v>
      </c>
      <c r="D108" s="95">
        <v>3750</v>
      </c>
      <c r="E108" s="95">
        <v>0</v>
      </c>
      <c r="F108" s="95">
        <v>0</v>
      </c>
      <c r="G108" s="95">
        <v>1E+30</v>
      </c>
      <c r="H108" s="95">
        <v>11042.352941176418</v>
      </c>
    </row>
    <row r="109" spans="2:8" x14ac:dyDescent="0.3">
      <c r="B109" s="95" t="s">
        <v>227</v>
      </c>
      <c r="C109" s="95" t="s">
        <v>194</v>
      </c>
      <c r="D109" s="95">
        <v>3625</v>
      </c>
      <c r="E109" s="95">
        <v>0</v>
      </c>
      <c r="F109" s="95">
        <v>0</v>
      </c>
      <c r="G109" s="95">
        <v>1E+30</v>
      </c>
      <c r="H109" s="95">
        <v>8669.1176470591963</v>
      </c>
    </row>
    <row r="110" spans="2:8" x14ac:dyDescent="0.3">
      <c r="B110" s="95" t="s">
        <v>228</v>
      </c>
      <c r="C110" s="95" t="s">
        <v>196</v>
      </c>
      <c r="D110" s="95">
        <v>3250</v>
      </c>
      <c r="E110" s="95">
        <v>0</v>
      </c>
      <c r="F110" s="95">
        <v>0</v>
      </c>
      <c r="G110" s="95">
        <v>1E+30</v>
      </c>
      <c r="H110" s="95">
        <v>6686.7647058824004</v>
      </c>
    </row>
    <row r="111" spans="2:8" x14ac:dyDescent="0.3">
      <c r="B111" s="95" t="s">
        <v>229</v>
      </c>
      <c r="C111" s="95" t="s">
        <v>198</v>
      </c>
      <c r="D111" s="95">
        <v>500</v>
      </c>
      <c r="E111" s="95">
        <v>0</v>
      </c>
      <c r="F111" s="95">
        <v>0</v>
      </c>
      <c r="G111" s="95">
        <v>1E+30</v>
      </c>
      <c r="H111" s="95">
        <v>1309.4117647058376</v>
      </c>
    </row>
    <row r="112" spans="2:8" x14ac:dyDescent="0.3">
      <c r="B112" s="95" t="s">
        <v>230</v>
      </c>
      <c r="C112" s="95" t="s">
        <v>200</v>
      </c>
      <c r="D112" s="95">
        <v>625</v>
      </c>
      <c r="E112" s="95">
        <v>0</v>
      </c>
      <c r="F112" s="95">
        <v>0</v>
      </c>
      <c r="G112" s="95">
        <v>1E+30</v>
      </c>
      <c r="H112" s="95">
        <v>2126.4705882353292</v>
      </c>
    </row>
    <row r="113" spans="2:8" x14ac:dyDescent="0.3">
      <c r="B113" s="95" t="s">
        <v>231</v>
      </c>
      <c r="C113" s="95" t="s">
        <v>182</v>
      </c>
      <c r="D113" s="95">
        <v>22000</v>
      </c>
      <c r="E113" s="95">
        <v>47941.176470588238</v>
      </c>
      <c r="F113" s="95">
        <v>22000</v>
      </c>
      <c r="G113" s="95">
        <v>18000</v>
      </c>
      <c r="H113" s="95">
        <v>22000</v>
      </c>
    </row>
    <row r="114" spans="2:8" x14ac:dyDescent="0.3">
      <c r="B114" s="95" t="s">
        <v>232</v>
      </c>
      <c r="C114" s="95" t="s">
        <v>184</v>
      </c>
      <c r="D114" s="95">
        <v>15000</v>
      </c>
      <c r="E114" s="95">
        <v>47235.294117647078</v>
      </c>
      <c r="F114" s="95">
        <v>15000</v>
      </c>
      <c r="G114" s="95">
        <v>15000</v>
      </c>
      <c r="H114" s="95">
        <v>15000</v>
      </c>
    </row>
    <row r="115" spans="2:8" x14ac:dyDescent="0.3">
      <c r="B115" s="95" t="s">
        <v>233</v>
      </c>
      <c r="C115" s="95" t="s">
        <v>186</v>
      </c>
      <c r="D115" s="95">
        <v>10000</v>
      </c>
      <c r="E115" s="95">
        <v>47941.176470588238</v>
      </c>
      <c r="F115" s="95">
        <v>10000</v>
      </c>
      <c r="G115" s="95">
        <v>10000</v>
      </c>
      <c r="H115" s="95">
        <v>10000</v>
      </c>
    </row>
    <row r="116" spans="2:8" x14ac:dyDescent="0.3">
      <c r="B116" s="95" t="s">
        <v>234</v>
      </c>
      <c r="C116" s="95" t="s">
        <v>188</v>
      </c>
      <c r="D116" s="95">
        <v>30000</v>
      </c>
      <c r="E116" s="95">
        <v>46882.352941176483</v>
      </c>
      <c r="F116" s="95">
        <v>30000</v>
      </c>
      <c r="G116" s="95">
        <v>10000</v>
      </c>
      <c r="H116" s="95">
        <v>30000</v>
      </c>
    </row>
    <row r="117" spans="2:8" x14ac:dyDescent="0.3">
      <c r="B117" s="95" t="s">
        <v>235</v>
      </c>
      <c r="C117" s="95" t="s">
        <v>190</v>
      </c>
      <c r="D117" s="95">
        <v>40000</v>
      </c>
      <c r="E117" s="95">
        <v>46176.470588235294</v>
      </c>
      <c r="F117" s="95">
        <v>40000</v>
      </c>
      <c r="G117" s="95">
        <v>16304.000000000118</v>
      </c>
      <c r="H117" s="95">
        <v>40000</v>
      </c>
    </row>
    <row r="118" spans="2:8" x14ac:dyDescent="0.3">
      <c r="B118" s="95" t="s">
        <v>236</v>
      </c>
      <c r="C118" s="95" t="s">
        <v>192</v>
      </c>
      <c r="D118" s="95">
        <v>10000</v>
      </c>
      <c r="E118" s="95">
        <v>47235.294117647056</v>
      </c>
      <c r="F118" s="95">
        <v>10000</v>
      </c>
      <c r="G118" s="95">
        <v>25000</v>
      </c>
      <c r="H118" s="95">
        <v>10000</v>
      </c>
    </row>
    <row r="119" spans="2:8" x14ac:dyDescent="0.3">
      <c r="B119" s="95" t="s">
        <v>237</v>
      </c>
      <c r="C119" s="95" t="s">
        <v>194</v>
      </c>
      <c r="D119" s="95">
        <v>12000</v>
      </c>
      <c r="E119" s="95">
        <v>47235.294117647063</v>
      </c>
      <c r="F119" s="95">
        <v>12000</v>
      </c>
      <c r="G119" s="95">
        <v>13000</v>
      </c>
      <c r="H119" s="95">
        <v>12000</v>
      </c>
    </row>
    <row r="120" spans="2:8" x14ac:dyDescent="0.3">
      <c r="B120" s="95" t="s">
        <v>238</v>
      </c>
      <c r="C120" s="95" t="s">
        <v>196</v>
      </c>
      <c r="D120" s="95">
        <v>12000</v>
      </c>
      <c r="E120" s="95">
        <v>47235.294117647049</v>
      </c>
      <c r="F120" s="95">
        <v>12000</v>
      </c>
      <c r="G120" s="95">
        <v>18000</v>
      </c>
      <c r="H120" s="95">
        <v>12000</v>
      </c>
    </row>
    <row r="121" spans="2:8" x14ac:dyDescent="0.3">
      <c r="B121" s="95" t="s">
        <v>239</v>
      </c>
      <c r="C121" s="95" t="s">
        <v>198</v>
      </c>
      <c r="D121" s="95">
        <v>800</v>
      </c>
      <c r="E121" s="95">
        <v>48647.058823529427</v>
      </c>
      <c r="F121" s="95">
        <v>800</v>
      </c>
      <c r="G121" s="95">
        <v>44.44444444443959</v>
      </c>
      <c r="H121" s="95">
        <v>800</v>
      </c>
    </row>
    <row r="122" spans="2:8" x14ac:dyDescent="0.3">
      <c r="B122" s="95" t="s">
        <v>240</v>
      </c>
      <c r="C122" s="95" t="s">
        <v>200</v>
      </c>
      <c r="D122" s="95">
        <v>500</v>
      </c>
      <c r="E122" s="95">
        <v>49000</v>
      </c>
      <c r="F122" s="95">
        <v>500</v>
      </c>
      <c r="G122" s="95">
        <v>2500</v>
      </c>
      <c r="H122" s="95">
        <v>500</v>
      </c>
    </row>
    <row r="123" spans="2:8" x14ac:dyDescent="0.3">
      <c r="B123" s="95" t="s">
        <v>241</v>
      </c>
      <c r="C123" s="95" t="s">
        <v>182</v>
      </c>
      <c r="D123" s="95">
        <v>2000</v>
      </c>
      <c r="E123" s="95">
        <v>61470.588235294119</v>
      </c>
      <c r="F123" s="95">
        <v>2000</v>
      </c>
      <c r="G123" s="95">
        <v>3000</v>
      </c>
      <c r="H123" s="95">
        <v>2000</v>
      </c>
    </row>
    <row r="124" spans="2:8" x14ac:dyDescent="0.3">
      <c r="B124" s="95" t="s">
        <v>242</v>
      </c>
      <c r="C124" s="95" t="s">
        <v>184</v>
      </c>
      <c r="D124" s="95">
        <v>5000</v>
      </c>
      <c r="E124" s="95">
        <v>56176.470588235323</v>
      </c>
      <c r="F124" s="95">
        <v>5000</v>
      </c>
      <c r="G124" s="95">
        <v>5000</v>
      </c>
      <c r="H124" s="95">
        <v>5000</v>
      </c>
    </row>
    <row r="125" spans="2:8" x14ac:dyDescent="0.3">
      <c r="B125" s="95" t="s">
        <v>243</v>
      </c>
      <c r="C125" s="95" t="s">
        <v>186</v>
      </c>
      <c r="D125" s="95">
        <v>12000</v>
      </c>
      <c r="E125" s="95">
        <v>54411.764705882357</v>
      </c>
      <c r="F125" s="95">
        <v>12000</v>
      </c>
      <c r="G125" s="95">
        <v>23000</v>
      </c>
      <c r="H125" s="95">
        <v>12000</v>
      </c>
    </row>
    <row r="126" spans="2:8" x14ac:dyDescent="0.3">
      <c r="B126" s="95" t="s">
        <v>244</v>
      </c>
      <c r="C126" s="95" t="s">
        <v>188</v>
      </c>
      <c r="D126" s="95">
        <v>15000</v>
      </c>
      <c r="E126" s="95">
        <v>55117.647058823532</v>
      </c>
      <c r="F126" s="95">
        <v>15000</v>
      </c>
      <c r="G126" s="95">
        <v>15000</v>
      </c>
      <c r="H126" s="95">
        <v>15000</v>
      </c>
    </row>
    <row r="127" spans="2:8" x14ac:dyDescent="0.3">
      <c r="B127" s="95" t="s">
        <v>245</v>
      </c>
      <c r="C127" s="95" t="s">
        <v>190</v>
      </c>
      <c r="D127" s="95">
        <v>8000</v>
      </c>
      <c r="E127" s="95">
        <v>59705.882352941175</v>
      </c>
      <c r="F127" s="95">
        <v>8000</v>
      </c>
      <c r="G127" s="95">
        <v>2000</v>
      </c>
      <c r="H127" s="95">
        <v>8000</v>
      </c>
    </row>
    <row r="128" spans="2:8" x14ac:dyDescent="0.3">
      <c r="B128" s="95" t="s">
        <v>246</v>
      </c>
      <c r="C128" s="95" t="s">
        <v>192</v>
      </c>
      <c r="D128" s="95">
        <v>3000</v>
      </c>
      <c r="E128" s="95">
        <v>57941.176470588231</v>
      </c>
      <c r="F128" s="95">
        <v>3000</v>
      </c>
      <c r="G128" s="95">
        <v>5000</v>
      </c>
      <c r="H128" s="95">
        <v>3000</v>
      </c>
    </row>
    <row r="129" spans="2:8" x14ac:dyDescent="0.3">
      <c r="B129" s="95" t="s">
        <v>247</v>
      </c>
      <c r="C129" s="95" t="s">
        <v>194</v>
      </c>
      <c r="D129" s="95">
        <v>6000</v>
      </c>
      <c r="E129" s="95">
        <v>56176.470588235301</v>
      </c>
      <c r="F129" s="95">
        <v>6000</v>
      </c>
      <c r="G129" s="95">
        <v>9000</v>
      </c>
      <c r="H129" s="95">
        <v>6000</v>
      </c>
    </row>
    <row r="130" spans="2:8" x14ac:dyDescent="0.3">
      <c r="B130" s="95" t="s">
        <v>248</v>
      </c>
      <c r="C130" s="95" t="s">
        <v>196</v>
      </c>
      <c r="D130" s="95">
        <v>8000</v>
      </c>
      <c r="E130" s="95">
        <v>55117.647058823517</v>
      </c>
      <c r="F130" s="95">
        <v>8000</v>
      </c>
      <c r="G130" s="95">
        <v>12000</v>
      </c>
      <c r="H130" s="95">
        <v>8000</v>
      </c>
    </row>
    <row r="131" spans="2:8" x14ac:dyDescent="0.3">
      <c r="B131" s="95" t="s">
        <v>249</v>
      </c>
      <c r="C131" s="95" t="s">
        <v>198</v>
      </c>
      <c r="D131" s="95">
        <v>399.99999999999994</v>
      </c>
      <c r="E131" s="95">
        <v>60764.705882352959</v>
      </c>
      <c r="F131" s="95">
        <v>400</v>
      </c>
      <c r="G131" s="95">
        <v>66.666666666659395</v>
      </c>
      <c r="H131" s="95">
        <v>399.99999999999994</v>
      </c>
    </row>
    <row r="132" spans="2:8" x14ac:dyDescent="0.3">
      <c r="B132" s="95" t="s">
        <v>250</v>
      </c>
      <c r="C132" s="95" t="s">
        <v>200</v>
      </c>
      <c r="D132" s="95">
        <v>200</v>
      </c>
      <c r="E132" s="95">
        <v>61470.588235294133</v>
      </c>
      <c r="F132" s="95">
        <v>200</v>
      </c>
      <c r="G132" s="95">
        <v>800</v>
      </c>
      <c r="H132" s="95">
        <v>200</v>
      </c>
    </row>
    <row r="133" spans="2:8" x14ac:dyDescent="0.3">
      <c r="B133" s="95" t="s">
        <v>251</v>
      </c>
      <c r="C133" s="95" t="s">
        <v>182</v>
      </c>
      <c r="D133" s="95">
        <v>500</v>
      </c>
      <c r="E133" s="95">
        <v>76470.588235294112</v>
      </c>
      <c r="F133" s="95">
        <v>500</v>
      </c>
      <c r="G133" s="95">
        <v>195700.00000000003</v>
      </c>
      <c r="H133" s="95">
        <v>500</v>
      </c>
    </row>
    <row r="134" spans="2:8" x14ac:dyDescent="0.3">
      <c r="B134" s="95" t="s">
        <v>252</v>
      </c>
      <c r="C134" s="95" t="s">
        <v>184</v>
      </c>
      <c r="D134" s="95">
        <v>1000</v>
      </c>
      <c r="E134" s="95">
        <v>74705.882352941175</v>
      </c>
      <c r="F134" s="95">
        <v>1000</v>
      </c>
      <c r="G134" s="95">
        <v>159599.99999999988</v>
      </c>
      <c r="H134" s="95">
        <v>1000</v>
      </c>
    </row>
    <row r="135" spans="2:8" x14ac:dyDescent="0.3">
      <c r="B135" s="95" t="s">
        <v>253</v>
      </c>
      <c r="C135" s="95" t="s">
        <v>186</v>
      </c>
      <c r="D135" s="95">
        <v>500</v>
      </c>
      <c r="E135" s="95">
        <v>76470.588235294112</v>
      </c>
      <c r="F135" s="95">
        <v>500</v>
      </c>
      <c r="G135" s="95">
        <v>126700.00000000001</v>
      </c>
      <c r="H135" s="95">
        <v>500</v>
      </c>
    </row>
    <row r="136" spans="2:8" x14ac:dyDescent="0.3">
      <c r="B136" s="95" t="s">
        <v>254</v>
      </c>
      <c r="C136" s="95" t="s">
        <v>188</v>
      </c>
      <c r="D136" s="95">
        <v>200</v>
      </c>
      <c r="E136" s="95">
        <v>77176.470588235301</v>
      </c>
      <c r="F136" s="95">
        <v>200</v>
      </c>
      <c r="G136" s="95">
        <v>112425.00000000006</v>
      </c>
      <c r="H136" s="95">
        <v>200</v>
      </c>
    </row>
    <row r="137" spans="2:8" x14ac:dyDescent="0.3">
      <c r="B137" s="95" t="s">
        <v>255</v>
      </c>
      <c r="C137" s="95" t="s">
        <v>190</v>
      </c>
      <c r="D137" s="95">
        <v>200</v>
      </c>
      <c r="E137" s="95">
        <v>78235.294117647063</v>
      </c>
      <c r="F137" s="95">
        <v>200</v>
      </c>
      <c r="G137" s="95">
        <v>126400</v>
      </c>
      <c r="H137" s="95">
        <v>200</v>
      </c>
    </row>
    <row r="138" spans="2:8" x14ac:dyDescent="0.3">
      <c r="B138" s="95" t="s">
        <v>256</v>
      </c>
      <c r="C138" s="95" t="s">
        <v>192</v>
      </c>
      <c r="D138" s="95">
        <v>500</v>
      </c>
      <c r="E138" s="95">
        <v>75764.705882352937</v>
      </c>
      <c r="F138" s="95">
        <v>500</v>
      </c>
      <c r="G138" s="95">
        <v>86291.666666666672</v>
      </c>
      <c r="H138" s="95">
        <v>500</v>
      </c>
    </row>
    <row r="139" spans="2:8" x14ac:dyDescent="0.3">
      <c r="B139" s="95" t="s">
        <v>257</v>
      </c>
      <c r="C139" s="95" t="s">
        <v>194</v>
      </c>
      <c r="D139" s="95">
        <v>2000</v>
      </c>
      <c r="E139" s="95">
        <v>69411.764705882335</v>
      </c>
      <c r="F139" s="95">
        <v>2000</v>
      </c>
      <c r="G139" s="95">
        <v>29733.333333333303</v>
      </c>
      <c r="H139" s="95">
        <v>2000</v>
      </c>
    </row>
    <row r="140" spans="2:8" x14ac:dyDescent="0.3">
      <c r="B140" s="95" t="s">
        <v>258</v>
      </c>
      <c r="C140" s="95" t="s">
        <v>196</v>
      </c>
      <c r="D140" s="95">
        <v>500</v>
      </c>
      <c r="E140" s="95">
        <v>74705.88235294116</v>
      </c>
      <c r="F140" s="95">
        <v>500</v>
      </c>
      <c r="G140" s="95">
        <v>43133.333333333328</v>
      </c>
      <c r="H140" s="95">
        <v>500</v>
      </c>
    </row>
    <row r="141" spans="2:8" x14ac:dyDescent="0.3">
      <c r="B141" s="95" t="s">
        <v>259</v>
      </c>
      <c r="C141" s="95" t="s">
        <v>198</v>
      </c>
      <c r="D141" s="95">
        <v>4000</v>
      </c>
      <c r="E141" s="95">
        <v>64117.647058823553</v>
      </c>
      <c r="F141" s="95">
        <v>4000</v>
      </c>
      <c r="G141" s="95">
        <v>17.777777777775842</v>
      </c>
      <c r="H141" s="95">
        <v>4000</v>
      </c>
    </row>
    <row r="142" spans="2:8" x14ac:dyDescent="0.3">
      <c r="B142" s="95" t="s">
        <v>260</v>
      </c>
      <c r="C142" s="95" t="s">
        <v>200</v>
      </c>
      <c r="D142" s="95">
        <v>1500</v>
      </c>
      <c r="E142" s="95">
        <v>67647.058823529427</v>
      </c>
      <c r="F142" s="95">
        <v>1500</v>
      </c>
      <c r="G142" s="95">
        <v>5042.8571428571422</v>
      </c>
      <c r="H142" s="95">
        <v>1500</v>
      </c>
    </row>
    <row r="143" spans="2:8" x14ac:dyDescent="0.3">
      <c r="B143" s="95" t="s">
        <v>275</v>
      </c>
      <c r="C143" s="95" t="s">
        <v>182</v>
      </c>
      <c r="D143" s="95">
        <v>22000</v>
      </c>
      <c r="E143" s="95">
        <v>0</v>
      </c>
      <c r="F143" s="95">
        <v>40000</v>
      </c>
      <c r="G143" s="95">
        <v>1E+30</v>
      </c>
      <c r="H143" s="95">
        <v>18000</v>
      </c>
    </row>
    <row r="144" spans="2:8" x14ac:dyDescent="0.3">
      <c r="B144" s="95" t="s">
        <v>276</v>
      </c>
      <c r="C144" s="95" t="s">
        <v>184</v>
      </c>
      <c r="D144" s="95">
        <v>15000</v>
      </c>
      <c r="E144" s="95">
        <v>0</v>
      </c>
      <c r="F144" s="95">
        <v>30000</v>
      </c>
      <c r="G144" s="95">
        <v>1E+30</v>
      </c>
      <c r="H144" s="95">
        <v>15000</v>
      </c>
    </row>
    <row r="145" spans="2:8" x14ac:dyDescent="0.3">
      <c r="B145" s="95" t="s">
        <v>277</v>
      </c>
      <c r="C145" s="95" t="s">
        <v>186</v>
      </c>
      <c r="D145" s="95">
        <v>10000</v>
      </c>
      <c r="E145" s="95">
        <v>0</v>
      </c>
      <c r="F145" s="95">
        <v>20000</v>
      </c>
      <c r="G145" s="95">
        <v>1E+30</v>
      </c>
      <c r="H145" s="95">
        <v>10000</v>
      </c>
    </row>
    <row r="146" spans="2:8" x14ac:dyDescent="0.3">
      <c r="B146" s="95" t="s">
        <v>278</v>
      </c>
      <c r="C146" s="95" t="s">
        <v>188</v>
      </c>
      <c r="D146" s="95">
        <v>30000</v>
      </c>
      <c r="E146" s="95">
        <v>0</v>
      </c>
      <c r="F146" s="95">
        <v>40000</v>
      </c>
      <c r="G146" s="95">
        <v>1E+30</v>
      </c>
      <c r="H146" s="95">
        <v>10000.000000000002</v>
      </c>
    </row>
    <row r="147" spans="2:8" x14ac:dyDescent="0.3">
      <c r="B147" s="95" t="s">
        <v>279</v>
      </c>
      <c r="C147" s="95" t="s">
        <v>190</v>
      </c>
      <c r="D147" s="95">
        <v>40000</v>
      </c>
      <c r="E147" s="95">
        <v>0</v>
      </c>
      <c r="F147" s="95">
        <v>75000</v>
      </c>
      <c r="G147" s="95">
        <v>1E+30</v>
      </c>
      <c r="H147" s="95">
        <v>35000</v>
      </c>
    </row>
    <row r="148" spans="2:8" x14ac:dyDescent="0.3">
      <c r="B148" s="95" t="s">
        <v>280</v>
      </c>
      <c r="C148" s="95" t="s">
        <v>192</v>
      </c>
      <c r="D148" s="95">
        <v>10000</v>
      </c>
      <c r="E148" s="95">
        <v>0</v>
      </c>
      <c r="F148" s="95">
        <v>35000</v>
      </c>
      <c r="G148" s="95">
        <v>1E+30</v>
      </c>
      <c r="H148" s="95">
        <v>25000</v>
      </c>
    </row>
    <row r="149" spans="2:8" x14ac:dyDescent="0.3">
      <c r="B149" s="95" t="s">
        <v>281</v>
      </c>
      <c r="C149" s="95" t="s">
        <v>194</v>
      </c>
      <c r="D149" s="95">
        <v>12000</v>
      </c>
      <c r="E149" s="95">
        <v>0</v>
      </c>
      <c r="F149" s="95">
        <v>25000</v>
      </c>
      <c r="G149" s="95">
        <v>1E+30</v>
      </c>
      <c r="H149" s="95">
        <v>13000</v>
      </c>
    </row>
    <row r="150" spans="2:8" x14ac:dyDescent="0.3">
      <c r="B150" s="95" t="s">
        <v>282</v>
      </c>
      <c r="C150" s="95" t="s">
        <v>196</v>
      </c>
      <c r="D150" s="95">
        <v>12000</v>
      </c>
      <c r="E150" s="95">
        <v>0</v>
      </c>
      <c r="F150" s="95">
        <v>30000</v>
      </c>
      <c r="G150" s="95">
        <v>1E+30</v>
      </c>
      <c r="H150" s="95">
        <v>18000</v>
      </c>
    </row>
    <row r="151" spans="2:8" x14ac:dyDescent="0.3">
      <c r="B151" s="95" t="s">
        <v>283</v>
      </c>
      <c r="C151" s="95" t="s">
        <v>198</v>
      </c>
      <c r="D151" s="95">
        <v>800</v>
      </c>
      <c r="E151" s="95">
        <v>0</v>
      </c>
      <c r="F151" s="95">
        <v>2000</v>
      </c>
      <c r="G151" s="95">
        <v>1E+30</v>
      </c>
      <c r="H151" s="95">
        <v>1200</v>
      </c>
    </row>
    <row r="152" spans="2:8" ht="15" thickBot="1" x14ac:dyDescent="0.35">
      <c r="B152" s="96" t="s">
        <v>284</v>
      </c>
      <c r="C152" s="96" t="s">
        <v>200</v>
      </c>
      <c r="D152" s="96">
        <v>500</v>
      </c>
      <c r="E152" s="96">
        <v>0</v>
      </c>
      <c r="F152" s="96">
        <v>3000</v>
      </c>
      <c r="G152" s="96">
        <v>1E+30</v>
      </c>
      <c r="H152" s="96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9569-FDCF-404B-8D31-012513D22293}">
  <dimension ref="A1:K125"/>
  <sheetViews>
    <sheetView workbookViewId="0">
      <selection activeCell="H17" sqref="H17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3" t="s">
        <v>16</v>
      </c>
      <c r="D4" s="14" t="s">
        <v>17</v>
      </c>
      <c r="E4" s="14" t="s">
        <v>18</v>
      </c>
      <c r="F4" s="14" t="s">
        <v>19</v>
      </c>
      <c r="G4" s="15" t="s">
        <v>20</v>
      </c>
      <c r="H4" s="10"/>
      <c r="I4" s="10"/>
      <c r="K4" s="10"/>
    </row>
    <row r="5" spans="1:11" x14ac:dyDescent="0.3">
      <c r="B5" s="16" t="s">
        <v>5</v>
      </c>
      <c r="C5" s="24">
        <v>22000</v>
      </c>
      <c r="D5" s="25">
        <v>2000</v>
      </c>
      <c r="E5" s="25">
        <v>500</v>
      </c>
      <c r="F5" s="25">
        <v>5400</v>
      </c>
      <c r="G5" s="26">
        <v>1550</v>
      </c>
      <c r="H5" s="10"/>
      <c r="I5" s="10"/>
      <c r="K5" s="10"/>
    </row>
    <row r="6" spans="1:11" x14ac:dyDescent="0.3">
      <c r="B6" s="17" t="s">
        <v>6</v>
      </c>
      <c r="C6" s="27">
        <v>15000</v>
      </c>
      <c r="D6" s="28">
        <v>5000</v>
      </c>
      <c r="E6" s="28">
        <v>1000</v>
      </c>
      <c r="F6" s="28">
        <v>4800</v>
      </c>
      <c r="G6" s="29">
        <v>3050.0000000000014</v>
      </c>
      <c r="H6" s="10"/>
      <c r="I6" s="10"/>
      <c r="K6" s="10"/>
    </row>
    <row r="7" spans="1:11" x14ac:dyDescent="0.3">
      <c r="B7" s="17" t="s">
        <v>7</v>
      </c>
      <c r="C7" s="27">
        <v>10000</v>
      </c>
      <c r="D7" s="28">
        <v>12000</v>
      </c>
      <c r="E7" s="28">
        <v>500</v>
      </c>
      <c r="F7" s="28">
        <v>2400</v>
      </c>
      <c r="G7" s="29">
        <v>2550</v>
      </c>
      <c r="H7" s="10"/>
      <c r="I7" s="10"/>
      <c r="K7" s="10"/>
    </row>
    <row r="8" spans="1:11" x14ac:dyDescent="0.3">
      <c r="B8" s="17" t="s">
        <v>8</v>
      </c>
      <c r="C8" s="27">
        <v>30000</v>
      </c>
      <c r="D8" s="28">
        <v>15000</v>
      </c>
      <c r="E8" s="28">
        <v>200</v>
      </c>
      <c r="F8" s="28">
        <v>2700</v>
      </c>
      <c r="G8" s="29">
        <v>2784</v>
      </c>
      <c r="H8" s="10"/>
      <c r="I8" s="10"/>
      <c r="K8" s="10"/>
    </row>
    <row r="9" spans="1:11" x14ac:dyDescent="0.3">
      <c r="B9" s="17" t="s">
        <v>9</v>
      </c>
      <c r="C9" s="27">
        <v>40000</v>
      </c>
      <c r="D9" s="28">
        <v>8000</v>
      </c>
      <c r="E9" s="28">
        <v>200</v>
      </c>
      <c r="F9" s="28">
        <v>2100</v>
      </c>
      <c r="G9" s="29">
        <v>2640.0000000000009</v>
      </c>
      <c r="H9" s="10"/>
      <c r="I9" s="10"/>
      <c r="K9" s="10"/>
    </row>
    <row r="10" spans="1:11" x14ac:dyDescent="0.3">
      <c r="B10" s="17" t="s">
        <v>10</v>
      </c>
      <c r="C10" s="27">
        <v>10000</v>
      </c>
      <c r="D10" s="28">
        <v>3000</v>
      </c>
      <c r="E10" s="28">
        <v>500</v>
      </c>
      <c r="F10" s="28">
        <v>2550</v>
      </c>
      <c r="G10" s="29">
        <v>1140</v>
      </c>
      <c r="H10" s="10"/>
      <c r="I10" s="10"/>
      <c r="K10" s="10"/>
    </row>
    <row r="11" spans="1:11" x14ac:dyDescent="0.3">
      <c r="B11" s="17" t="s">
        <v>11</v>
      </c>
      <c r="C11" s="27">
        <v>12000</v>
      </c>
      <c r="D11" s="28">
        <v>6000</v>
      </c>
      <c r="E11" s="28">
        <v>2000</v>
      </c>
      <c r="F11" s="28">
        <v>1200</v>
      </c>
      <c r="G11" s="29">
        <v>1825</v>
      </c>
      <c r="H11" s="10"/>
      <c r="I11" s="10"/>
      <c r="K11" s="10"/>
    </row>
    <row r="12" spans="1:11" x14ac:dyDescent="0.3">
      <c r="B12" s="17" t="s">
        <v>12</v>
      </c>
      <c r="C12" s="27">
        <v>12000</v>
      </c>
      <c r="D12" s="28">
        <v>8000</v>
      </c>
      <c r="E12" s="28">
        <v>500</v>
      </c>
      <c r="F12" s="28">
        <v>2250</v>
      </c>
      <c r="G12" s="29">
        <v>925.00000000000205</v>
      </c>
      <c r="H12" s="10"/>
      <c r="I12" s="10"/>
      <c r="K12" s="10"/>
    </row>
    <row r="13" spans="1:11" x14ac:dyDescent="0.3">
      <c r="B13" s="17" t="s">
        <v>13</v>
      </c>
      <c r="C13" s="27">
        <v>800</v>
      </c>
      <c r="D13" s="28">
        <v>400</v>
      </c>
      <c r="E13" s="28">
        <v>4000</v>
      </c>
      <c r="F13" s="28">
        <v>0</v>
      </c>
      <c r="G13" s="29">
        <v>0</v>
      </c>
      <c r="H13" s="10"/>
      <c r="I13" s="10"/>
      <c r="K13" s="10"/>
    </row>
    <row r="14" spans="1:11" x14ac:dyDescent="0.3">
      <c r="B14" s="18" t="s">
        <v>14</v>
      </c>
      <c r="C14" s="30">
        <v>500</v>
      </c>
      <c r="D14" s="31">
        <v>200</v>
      </c>
      <c r="E14" s="31">
        <v>1500</v>
      </c>
      <c r="F14" s="31">
        <v>150</v>
      </c>
      <c r="G14" s="32">
        <v>0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8376500000</v>
      </c>
      <c r="D17" s="34">
        <f>SUM(D5:D14)*D18</f>
        <v>3874000000</v>
      </c>
      <c r="E17" s="34">
        <f>SUM(E5:E14)*E18</f>
        <v>872000000</v>
      </c>
      <c r="F17" s="34">
        <f>SUM(F5:F14)*F18</f>
        <v>1059750000</v>
      </c>
      <c r="G17" s="35">
        <f>SUM(G5:G14)*G18</f>
        <v>493920000.00000024</v>
      </c>
      <c r="H17" s="36">
        <f>SUM(C17:G17)</f>
        <v>14676170000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9747.5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10652.5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9497.5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15372.4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14924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5614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7131.25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7316.2500000000018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1992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735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22000</v>
      </c>
      <c r="D32" s="43">
        <f t="shared" si="1"/>
        <v>2000</v>
      </c>
      <c r="E32" s="43">
        <f t="shared" si="1"/>
        <v>500</v>
      </c>
      <c r="F32" s="43">
        <f t="shared" si="1"/>
        <v>5400</v>
      </c>
      <c r="G32" s="43">
        <f t="shared" si="1"/>
        <v>1550</v>
      </c>
      <c r="H32" s="51">
        <f>0.4*SUM(C32:G32)</f>
        <v>12580</v>
      </c>
      <c r="I32" s="10" t="s">
        <v>52</v>
      </c>
      <c r="J32" s="54">
        <f>F32</f>
        <v>5400</v>
      </c>
      <c r="K32" s="10"/>
    </row>
    <row r="33" spans="1:11" x14ac:dyDescent="0.3">
      <c r="B33" s="40" t="s">
        <v>6</v>
      </c>
      <c r="C33" s="44">
        <f t="shared" si="1"/>
        <v>15000</v>
      </c>
      <c r="D33" s="3">
        <f t="shared" si="1"/>
        <v>5000</v>
      </c>
      <c r="E33" s="3">
        <f t="shared" si="1"/>
        <v>1000</v>
      </c>
      <c r="F33" s="3">
        <f t="shared" si="1"/>
        <v>4800</v>
      </c>
      <c r="G33" s="3">
        <f t="shared" si="1"/>
        <v>3050.0000000000014</v>
      </c>
      <c r="H33" s="52">
        <f t="shared" ref="H33:H41" si="2">0.4*SUM(C33:G33)</f>
        <v>11540</v>
      </c>
      <c r="I33" s="10" t="s">
        <v>52</v>
      </c>
      <c r="J33" s="56">
        <f t="shared" ref="J33:J41" si="3">F33</f>
        <v>4800</v>
      </c>
      <c r="K33" s="10"/>
    </row>
    <row r="34" spans="1:11" x14ac:dyDescent="0.3">
      <c r="B34" s="40" t="s">
        <v>7</v>
      </c>
      <c r="C34" s="44">
        <f t="shared" si="1"/>
        <v>10000</v>
      </c>
      <c r="D34" s="3">
        <f t="shared" si="1"/>
        <v>12000</v>
      </c>
      <c r="E34" s="3">
        <f t="shared" si="1"/>
        <v>500</v>
      </c>
      <c r="F34" s="3">
        <f t="shared" si="1"/>
        <v>2400</v>
      </c>
      <c r="G34" s="3">
        <f t="shared" si="1"/>
        <v>2550</v>
      </c>
      <c r="H34" s="52">
        <f t="shared" si="2"/>
        <v>10980</v>
      </c>
      <c r="I34" s="10" t="s">
        <v>52</v>
      </c>
      <c r="J34" s="56">
        <f t="shared" si="3"/>
        <v>2400</v>
      </c>
      <c r="K34" s="10"/>
    </row>
    <row r="35" spans="1:11" x14ac:dyDescent="0.3">
      <c r="B35" s="40" t="s">
        <v>8</v>
      </c>
      <c r="C35" s="44">
        <f t="shared" si="1"/>
        <v>30000</v>
      </c>
      <c r="D35" s="3">
        <f t="shared" si="1"/>
        <v>15000</v>
      </c>
      <c r="E35" s="3">
        <f t="shared" si="1"/>
        <v>200</v>
      </c>
      <c r="F35" s="3">
        <f t="shared" si="1"/>
        <v>2700</v>
      </c>
      <c r="G35" s="3">
        <f t="shared" si="1"/>
        <v>2784</v>
      </c>
      <c r="H35" s="52">
        <f t="shared" si="2"/>
        <v>20273.600000000002</v>
      </c>
      <c r="I35" s="10" t="s">
        <v>52</v>
      </c>
      <c r="J35" s="56">
        <f t="shared" si="3"/>
        <v>2700</v>
      </c>
      <c r="K35" s="10"/>
    </row>
    <row r="36" spans="1:11" x14ac:dyDescent="0.3">
      <c r="B36" s="40" t="s">
        <v>9</v>
      </c>
      <c r="C36" s="44">
        <f t="shared" si="1"/>
        <v>40000</v>
      </c>
      <c r="D36" s="3">
        <f t="shared" si="1"/>
        <v>8000</v>
      </c>
      <c r="E36" s="3">
        <f t="shared" si="1"/>
        <v>200</v>
      </c>
      <c r="F36" s="3">
        <f t="shared" si="1"/>
        <v>2100</v>
      </c>
      <c r="G36" s="3">
        <f t="shared" si="1"/>
        <v>2640.0000000000009</v>
      </c>
      <c r="H36" s="52">
        <f t="shared" si="2"/>
        <v>21176</v>
      </c>
      <c r="I36" s="10" t="s">
        <v>52</v>
      </c>
      <c r="J36" s="56">
        <f t="shared" si="3"/>
        <v>2100</v>
      </c>
      <c r="K36" s="10"/>
    </row>
    <row r="37" spans="1:11" x14ac:dyDescent="0.3">
      <c r="B37" s="40" t="s">
        <v>10</v>
      </c>
      <c r="C37" s="44">
        <f t="shared" si="1"/>
        <v>10000</v>
      </c>
      <c r="D37" s="3">
        <f t="shared" si="1"/>
        <v>3000</v>
      </c>
      <c r="E37" s="3">
        <f t="shared" si="1"/>
        <v>500</v>
      </c>
      <c r="F37" s="3">
        <f t="shared" si="1"/>
        <v>2550</v>
      </c>
      <c r="G37" s="3">
        <f t="shared" si="1"/>
        <v>1140</v>
      </c>
      <c r="H37" s="52">
        <f t="shared" si="2"/>
        <v>6876</v>
      </c>
      <c r="I37" s="10" t="s">
        <v>52</v>
      </c>
      <c r="J37" s="56">
        <f t="shared" si="3"/>
        <v>2550</v>
      </c>
      <c r="K37" s="10"/>
    </row>
    <row r="38" spans="1:11" x14ac:dyDescent="0.3">
      <c r="B38" s="40" t="s">
        <v>11</v>
      </c>
      <c r="C38" s="44">
        <f t="shared" si="1"/>
        <v>12000</v>
      </c>
      <c r="D38" s="3">
        <f t="shared" si="1"/>
        <v>6000</v>
      </c>
      <c r="E38" s="3">
        <f t="shared" si="1"/>
        <v>2000</v>
      </c>
      <c r="F38" s="3">
        <f t="shared" si="1"/>
        <v>1200</v>
      </c>
      <c r="G38" s="3">
        <f t="shared" si="1"/>
        <v>1825</v>
      </c>
      <c r="H38" s="52">
        <f t="shared" si="2"/>
        <v>9210</v>
      </c>
      <c r="I38" s="10" t="s">
        <v>52</v>
      </c>
      <c r="J38" s="56">
        <f t="shared" si="3"/>
        <v>1200</v>
      </c>
      <c r="K38" s="10"/>
    </row>
    <row r="39" spans="1:11" x14ac:dyDescent="0.3">
      <c r="B39" s="40" t="s">
        <v>12</v>
      </c>
      <c r="C39" s="44">
        <f t="shared" si="1"/>
        <v>12000</v>
      </c>
      <c r="D39" s="3">
        <f t="shared" si="1"/>
        <v>8000</v>
      </c>
      <c r="E39" s="3">
        <f t="shared" si="1"/>
        <v>500</v>
      </c>
      <c r="F39" s="3">
        <f t="shared" si="1"/>
        <v>2250</v>
      </c>
      <c r="G39" s="3">
        <f t="shared" si="1"/>
        <v>925.00000000000205</v>
      </c>
      <c r="H39" s="52">
        <f t="shared" si="2"/>
        <v>9470.0000000000018</v>
      </c>
      <c r="I39" s="10" t="s">
        <v>52</v>
      </c>
      <c r="J39" s="56">
        <f t="shared" si="3"/>
        <v>2250</v>
      </c>
      <c r="K39" s="10"/>
    </row>
    <row r="40" spans="1:11" x14ac:dyDescent="0.3">
      <c r="B40" s="40" t="s">
        <v>13</v>
      </c>
      <c r="C40" s="44">
        <f t="shared" si="1"/>
        <v>800</v>
      </c>
      <c r="D40" s="3">
        <f t="shared" si="1"/>
        <v>400</v>
      </c>
      <c r="E40" s="3">
        <f t="shared" si="1"/>
        <v>4000</v>
      </c>
      <c r="F40" s="3">
        <f t="shared" si="1"/>
        <v>0</v>
      </c>
      <c r="G40" s="3">
        <f t="shared" si="1"/>
        <v>0</v>
      </c>
      <c r="H40" s="52">
        <f t="shared" si="2"/>
        <v>2080</v>
      </c>
      <c r="I40" s="10" t="s">
        <v>52</v>
      </c>
      <c r="J40" s="56">
        <f t="shared" si="3"/>
        <v>0</v>
      </c>
      <c r="K40" s="10"/>
    </row>
    <row r="41" spans="1:11" x14ac:dyDescent="0.3">
      <c r="B41" s="41" t="s">
        <v>14</v>
      </c>
      <c r="C41" s="45">
        <f t="shared" si="1"/>
        <v>500</v>
      </c>
      <c r="D41" s="46">
        <f t="shared" si="1"/>
        <v>200</v>
      </c>
      <c r="E41" s="46">
        <f t="shared" si="1"/>
        <v>1500</v>
      </c>
      <c r="F41" s="46">
        <f t="shared" si="1"/>
        <v>150</v>
      </c>
      <c r="G41" s="46">
        <f t="shared" si="1"/>
        <v>0</v>
      </c>
      <c r="H41" s="53">
        <f t="shared" si="2"/>
        <v>940</v>
      </c>
      <c r="I41" s="10" t="s">
        <v>52</v>
      </c>
      <c r="J41" s="59">
        <f t="shared" si="3"/>
        <v>150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5400</v>
      </c>
      <c r="G43" s="10"/>
      <c r="H43" s="51">
        <f>F43</f>
        <v>5400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4800</v>
      </c>
      <c r="G44" s="10"/>
      <c r="H44" s="52">
        <f t="shared" ref="H44:H52" si="5">F44</f>
        <v>4800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2400</v>
      </c>
      <c r="G45" s="10"/>
      <c r="H45" s="52">
        <f t="shared" si="5"/>
        <v>2400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2700</v>
      </c>
      <c r="G46" s="10"/>
      <c r="H46" s="52">
        <f t="shared" si="5"/>
        <v>2700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2100</v>
      </c>
      <c r="G47" s="10"/>
      <c r="H47" s="52">
        <f t="shared" si="5"/>
        <v>2100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2550</v>
      </c>
      <c r="G48" s="10"/>
      <c r="H48" s="52">
        <f t="shared" si="5"/>
        <v>2550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1200</v>
      </c>
      <c r="G49" s="10"/>
      <c r="H49" s="52">
        <f t="shared" si="5"/>
        <v>1200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2250</v>
      </c>
      <c r="G50" s="10"/>
      <c r="H50" s="52">
        <f t="shared" si="5"/>
        <v>2250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0</v>
      </c>
      <c r="G51" s="10"/>
      <c r="H51" s="52">
        <f t="shared" si="5"/>
        <v>0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150</v>
      </c>
      <c r="G52" s="10"/>
      <c r="H52" s="53">
        <f t="shared" si="5"/>
        <v>150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50</v>
      </c>
      <c r="F54" s="20">
        <f t="shared" ref="F54:G63" si="7">F5</f>
        <v>5400</v>
      </c>
      <c r="G54" s="20">
        <f t="shared" si="7"/>
        <v>1550</v>
      </c>
      <c r="H54" s="51">
        <f>SUM(E54:G54)</f>
        <v>7000</v>
      </c>
      <c r="I54" s="10" t="s">
        <v>52</v>
      </c>
      <c r="J54" s="51">
        <f>0.25*J21</f>
        <v>7000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150</v>
      </c>
      <c r="F55" s="10">
        <f t="shared" si="7"/>
        <v>4800</v>
      </c>
      <c r="G55" s="10">
        <f t="shared" si="7"/>
        <v>3050.0000000000014</v>
      </c>
      <c r="H55" s="52">
        <f t="shared" ref="H55:H63" si="8">SUM(E55:G55)</f>
        <v>8000.0000000000018</v>
      </c>
      <c r="I55" s="10" t="s">
        <v>52</v>
      </c>
      <c r="J55" s="52">
        <f t="shared" ref="J55:J63" si="9">0.25*J22</f>
        <v>8000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50</v>
      </c>
      <c r="F56" s="10">
        <f t="shared" si="7"/>
        <v>2400</v>
      </c>
      <c r="G56" s="10">
        <f t="shared" si="7"/>
        <v>2550</v>
      </c>
      <c r="H56" s="52">
        <f t="shared" si="8"/>
        <v>5000</v>
      </c>
      <c r="I56" s="10" t="s">
        <v>52</v>
      </c>
      <c r="J56" s="52">
        <f t="shared" si="9"/>
        <v>5000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16</v>
      </c>
      <c r="F57" s="10">
        <f t="shared" si="7"/>
        <v>2700</v>
      </c>
      <c r="G57" s="10">
        <f t="shared" si="7"/>
        <v>2784</v>
      </c>
      <c r="H57" s="52">
        <f t="shared" si="8"/>
        <v>5500</v>
      </c>
      <c r="I57" s="10" t="s">
        <v>52</v>
      </c>
      <c r="J57" s="52">
        <f t="shared" si="9"/>
        <v>5500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10</v>
      </c>
      <c r="F58" s="10">
        <f t="shared" si="7"/>
        <v>2100</v>
      </c>
      <c r="G58" s="10">
        <f t="shared" si="7"/>
        <v>2640.0000000000009</v>
      </c>
      <c r="H58" s="52">
        <f t="shared" si="8"/>
        <v>4750.0000000000009</v>
      </c>
      <c r="I58" s="10" t="s">
        <v>52</v>
      </c>
      <c r="J58" s="52">
        <f t="shared" si="9"/>
        <v>4750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60</v>
      </c>
      <c r="F59" s="10">
        <f t="shared" si="7"/>
        <v>2550</v>
      </c>
      <c r="G59" s="10">
        <f t="shared" si="7"/>
        <v>1140</v>
      </c>
      <c r="H59" s="52">
        <f t="shared" si="8"/>
        <v>3750</v>
      </c>
      <c r="I59" s="10" t="s">
        <v>52</v>
      </c>
      <c r="J59" s="52">
        <f t="shared" si="9"/>
        <v>3750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600</v>
      </c>
      <c r="F60" s="10">
        <f t="shared" si="7"/>
        <v>1200</v>
      </c>
      <c r="G60" s="10">
        <f t="shared" si="7"/>
        <v>1825</v>
      </c>
      <c r="H60" s="52">
        <f t="shared" si="8"/>
        <v>3625</v>
      </c>
      <c r="I60" s="10" t="s">
        <v>52</v>
      </c>
      <c r="J60" s="52">
        <f t="shared" si="9"/>
        <v>3625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75</v>
      </c>
      <c r="F61" s="10">
        <f t="shared" si="7"/>
        <v>2250</v>
      </c>
      <c r="G61" s="10">
        <f t="shared" si="7"/>
        <v>925.00000000000205</v>
      </c>
      <c r="H61" s="52">
        <f t="shared" si="8"/>
        <v>3250.0000000000018</v>
      </c>
      <c r="I61" s="10" t="s">
        <v>52</v>
      </c>
      <c r="J61" s="52">
        <f t="shared" si="9"/>
        <v>3250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1800</v>
      </c>
      <c r="F62" s="10">
        <f t="shared" si="7"/>
        <v>0</v>
      </c>
      <c r="G62" s="10">
        <f t="shared" si="7"/>
        <v>0</v>
      </c>
      <c r="H62" s="52">
        <f t="shared" si="8"/>
        <v>1800</v>
      </c>
      <c r="I62" s="10" t="s">
        <v>52</v>
      </c>
      <c r="J62" s="52">
        <f t="shared" si="9"/>
        <v>500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525</v>
      </c>
      <c r="F63" s="23">
        <f t="shared" si="7"/>
        <v>150</v>
      </c>
      <c r="G63" s="23">
        <f t="shared" si="7"/>
        <v>0</v>
      </c>
      <c r="H63" s="53">
        <f t="shared" si="8"/>
        <v>675</v>
      </c>
      <c r="I63" s="10" t="s">
        <v>52</v>
      </c>
      <c r="J63" s="53">
        <f t="shared" si="9"/>
        <v>625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22000</v>
      </c>
      <c r="D66" s="10"/>
      <c r="E66" s="10"/>
      <c r="F66" s="10"/>
      <c r="G66" s="10"/>
      <c r="H66" s="51">
        <f>C66</f>
        <v>22000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15000</v>
      </c>
      <c r="D67" s="10"/>
      <c r="E67" s="10"/>
      <c r="F67" s="10"/>
      <c r="G67" s="10"/>
      <c r="H67" s="52">
        <f t="shared" ref="H67:H75" si="11">C67</f>
        <v>15000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10000</v>
      </c>
      <c r="D68" s="10"/>
      <c r="E68" s="10"/>
      <c r="F68" s="10"/>
      <c r="G68" s="10"/>
      <c r="H68" s="52">
        <f t="shared" si="11"/>
        <v>10000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30000</v>
      </c>
      <c r="D69" s="10"/>
      <c r="E69" s="10"/>
      <c r="F69" s="10"/>
      <c r="G69" s="10"/>
      <c r="H69" s="52">
        <f t="shared" si="11"/>
        <v>30000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40000</v>
      </c>
      <c r="D70" s="10"/>
      <c r="E70" s="10"/>
      <c r="F70" s="10"/>
      <c r="G70" s="10"/>
      <c r="H70" s="52">
        <f t="shared" si="11"/>
        <v>40000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10000</v>
      </c>
      <c r="D71" s="10"/>
      <c r="E71" s="10"/>
      <c r="F71" s="10"/>
      <c r="G71" s="10"/>
      <c r="H71" s="52">
        <f t="shared" si="11"/>
        <v>10000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12000</v>
      </c>
      <c r="D72" s="10"/>
      <c r="E72" s="10"/>
      <c r="F72" s="10"/>
      <c r="G72" s="10"/>
      <c r="H72" s="52">
        <f t="shared" si="11"/>
        <v>12000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12000</v>
      </c>
      <c r="D73" s="10"/>
      <c r="E73" s="10"/>
      <c r="F73" s="10"/>
      <c r="G73" s="10"/>
      <c r="H73" s="52">
        <f t="shared" si="11"/>
        <v>12000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800</v>
      </c>
      <c r="D74" s="10"/>
      <c r="E74" s="10"/>
      <c r="F74" s="10"/>
      <c r="G74" s="10"/>
      <c r="H74" s="52">
        <f t="shared" si="11"/>
        <v>800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500</v>
      </c>
      <c r="D75" s="10"/>
      <c r="E75" s="10"/>
      <c r="F75" s="10"/>
      <c r="G75" s="10"/>
      <c r="H75" s="53">
        <f t="shared" si="11"/>
        <v>500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2000</v>
      </c>
      <c r="E77" s="10"/>
      <c r="F77" s="10"/>
      <c r="G77" s="10"/>
      <c r="H77" s="51">
        <f>D77</f>
        <v>2000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5000</v>
      </c>
      <c r="E78" s="10"/>
      <c r="F78" s="10"/>
      <c r="G78" s="10"/>
      <c r="H78" s="52">
        <f t="shared" ref="H78:H86" si="13">D78</f>
        <v>5000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12000</v>
      </c>
      <c r="E79" s="10"/>
      <c r="F79" s="10"/>
      <c r="G79" s="10"/>
      <c r="H79" s="52">
        <f t="shared" si="13"/>
        <v>12000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15000</v>
      </c>
      <c r="E80" s="10"/>
      <c r="F80" s="10"/>
      <c r="G80" s="10"/>
      <c r="H80" s="52">
        <f t="shared" si="13"/>
        <v>15000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8000</v>
      </c>
      <c r="E81" s="10"/>
      <c r="F81" s="10"/>
      <c r="G81" s="10"/>
      <c r="H81" s="52">
        <f t="shared" si="13"/>
        <v>8000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3000</v>
      </c>
      <c r="E82" s="10"/>
      <c r="F82" s="10"/>
      <c r="G82" s="10"/>
      <c r="H82" s="52">
        <f t="shared" si="13"/>
        <v>3000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6000</v>
      </c>
      <c r="E83" s="10"/>
      <c r="F83" s="10"/>
      <c r="G83" s="10"/>
      <c r="H83" s="52">
        <f t="shared" si="13"/>
        <v>6000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8000</v>
      </c>
      <c r="E84" s="10"/>
      <c r="F84" s="10"/>
      <c r="G84" s="10"/>
      <c r="H84" s="52">
        <f t="shared" si="13"/>
        <v>8000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400</v>
      </c>
      <c r="E85" s="10"/>
      <c r="F85" s="10"/>
      <c r="G85" s="10"/>
      <c r="H85" s="52">
        <f t="shared" si="13"/>
        <v>400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200</v>
      </c>
      <c r="E86" s="10"/>
      <c r="F86" s="10"/>
      <c r="G86" s="10"/>
      <c r="H86" s="53">
        <f t="shared" si="13"/>
        <v>200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500</v>
      </c>
      <c r="F88" s="10"/>
      <c r="G88" s="10"/>
      <c r="H88" s="51">
        <f>E88</f>
        <v>500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1000</v>
      </c>
      <c r="F89" s="10"/>
      <c r="G89" s="10"/>
      <c r="H89" s="52">
        <f t="shared" ref="H89:H97" si="15">E89</f>
        <v>1000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500</v>
      </c>
      <c r="F90" s="10"/>
      <c r="G90" s="10"/>
      <c r="H90" s="52">
        <f t="shared" si="15"/>
        <v>500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200</v>
      </c>
      <c r="F91" s="10"/>
      <c r="G91" s="10"/>
      <c r="H91" s="52">
        <f t="shared" si="15"/>
        <v>200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200</v>
      </c>
      <c r="F92" s="10"/>
      <c r="G92" s="10"/>
      <c r="H92" s="52">
        <f t="shared" si="15"/>
        <v>200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500</v>
      </c>
      <c r="F93" s="10"/>
      <c r="G93" s="10"/>
      <c r="H93" s="52">
        <f t="shared" si="15"/>
        <v>500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2000</v>
      </c>
      <c r="F94" s="10"/>
      <c r="G94" s="10"/>
      <c r="H94" s="52">
        <f t="shared" si="15"/>
        <v>2000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500</v>
      </c>
      <c r="F95" s="10"/>
      <c r="G95" s="10"/>
      <c r="H95" s="52">
        <f t="shared" si="15"/>
        <v>500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4000</v>
      </c>
      <c r="F96" s="10"/>
      <c r="G96" s="10"/>
      <c r="H96" s="52">
        <f t="shared" si="15"/>
        <v>4000</v>
      </c>
      <c r="I96" s="10" t="s">
        <v>52</v>
      </c>
      <c r="J96" s="55">
        <v>4000</v>
      </c>
      <c r="K96" s="10"/>
    </row>
    <row r="97" spans="2:11" x14ac:dyDescent="0.3">
      <c r="B97" s="18" t="s">
        <v>14</v>
      </c>
      <c r="C97" s="10"/>
      <c r="D97" s="10"/>
      <c r="E97" s="49">
        <f t="shared" si="14"/>
        <v>1500</v>
      </c>
      <c r="F97" s="10"/>
      <c r="G97" s="10"/>
      <c r="H97" s="53">
        <f t="shared" si="15"/>
        <v>1500</v>
      </c>
      <c r="I97" s="10" t="s">
        <v>52</v>
      </c>
      <c r="J97" s="57">
        <v>1500</v>
      </c>
      <c r="K97" s="10"/>
    </row>
    <row r="98" spans="2:11" x14ac:dyDescent="0.3">
      <c r="C98" s="10"/>
      <c r="D98" s="10"/>
      <c r="E98" s="10"/>
      <c r="F98" s="10"/>
      <c r="G98" s="10"/>
      <c r="H98" s="10"/>
      <c r="I98" s="10"/>
      <c r="K98" s="10"/>
    </row>
    <row r="99" spans="2:11" x14ac:dyDescent="0.3">
      <c r="H99" s="10"/>
      <c r="I99" s="10"/>
      <c r="K99" s="10"/>
    </row>
    <row r="100" spans="2:11" x14ac:dyDescent="0.3">
      <c r="C100" s="10"/>
      <c r="D100" s="10"/>
      <c r="E100" s="10"/>
      <c r="F100" s="10"/>
      <c r="G100" s="10"/>
      <c r="H100" s="10"/>
      <c r="I100" s="10"/>
      <c r="K100" s="10"/>
    </row>
    <row r="101" spans="2:11" x14ac:dyDescent="0.3">
      <c r="C101" s="10"/>
      <c r="D101" s="10"/>
      <c r="E101" s="10"/>
      <c r="F101" s="10"/>
      <c r="G101" s="10"/>
      <c r="H101" s="10"/>
      <c r="I101" s="10"/>
      <c r="K101" s="10"/>
    </row>
    <row r="102" spans="2:11" x14ac:dyDescent="0.3">
      <c r="C102" s="10"/>
      <c r="D102" s="10"/>
      <c r="E102" s="10"/>
      <c r="F102" s="10"/>
      <c r="G102" s="10"/>
      <c r="H102" s="10"/>
      <c r="I102" s="10"/>
      <c r="K102" s="10"/>
    </row>
    <row r="103" spans="2:11" x14ac:dyDescent="0.3">
      <c r="C103" s="10"/>
      <c r="D103" s="10"/>
      <c r="E103" s="10"/>
      <c r="F103" s="10"/>
      <c r="G103" s="10"/>
      <c r="H103" s="10"/>
      <c r="I103" s="10"/>
      <c r="K103" s="10"/>
    </row>
    <row r="104" spans="2:11" x14ac:dyDescent="0.3">
      <c r="C104" s="10"/>
      <c r="D104" s="10"/>
      <c r="E104" s="10"/>
      <c r="F104" s="10"/>
      <c r="G104" s="10"/>
      <c r="H104" s="10"/>
      <c r="I104" s="10"/>
      <c r="K104" s="10"/>
    </row>
    <row r="105" spans="2:11" x14ac:dyDescent="0.3">
      <c r="C105" s="10"/>
      <c r="D105" s="10"/>
      <c r="E105" s="10"/>
      <c r="F105" s="10"/>
      <c r="G105" s="10"/>
      <c r="H105" s="10"/>
      <c r="I105" s="10"/>
      <c r="K105" s="10"/>
    </row>
    <row r="106" spans="2:11" x14ac:dyDescent="0.3">
      <c r="C106" s="10"/>
      <c r="D106" s="10"/>
      <c r="E106" s="10"/>
      <c r="F106" s="10"/>
      <c r="G106" s="10"/>
      <c r="H106" s="10"/>
      <c r="I106" s="10"/>
      <c r="K106" s="10"/>
    </row>
    <row r="107" spans="2:11" x14ac:dyDescent="0.3">
      <c r="C107" s="10"/>
      <c r="D107" s="10"/>
      <c r="E107" s="10"/>
      <c r="F107" s="10"/>
      <c r="G107" s="10"/>
      <c r="H107" s="10"/>
      <c r="I107" s="10"/>
      <c r="K107" s="10"/>
    </row>
    <row r="108" spans="2:11" x14ac:dyDescent="0.3">
      <c r="C108" s="10"/>
      <c r="D108" s="10"/>
      <c r="E108" s="10"/>
      <c r="F108" s="10"/>
      <c r="G108" s="10"/>
      <c r="H108" s="10"/>
      <c r="I108" s="10"/>
      <c r="K108" s="10"/>
    </row>
    <row r="109" spans="2:11" x14ac:dyDescent="0.3">
      <c r="C109" s="10"/>
      <c r="D109" s="10"/>
      <c r="E109" s="10"/>
      <c r="F109" s="10"/>
      <c r="G109" s="10"/>
      <c r="H109" s="10"/>
      <c r="I109" s="10"/>
      <c r="K109" s="10"/>
    </row>
    <row r="110" spans="2:11" x14ac:dyDescent="0.3">
      <c r="C110" s="10"/>
      <c r="D110" s="10"/>
      <c r="E110" s="10"/>
      <c r="F110" s="10"/>
      <c r="G110" s="10"/>
      <c r="H110" s="10"/>
      <c r="I110" s="10"/>
      <c r="K110" s="10"/>
    </row>
    <row r="111" spans="2:11" x14ac:dyDescent="0.3">
      <c r="C111" s="10"/>
      <c r="D111" s="10"/>
      <c r="E111" s="10"/>
      <c r="F111" s="10"/>
      <c r="G111" s="10"/>
      <c r="H111" s="10"/>
      <c r="I111" s="10"/>
      <c r="K111" s="10"/>
    </row>
    <row r="112" spans="2:11" x14ac:dyDescent="0.3">
      <c r="C112" s="10"/>
      <c r="D112" s="10"/>
      <c r="E112" s="10"/>
      <c r="F112" s="10"/>
      <c r="G112" s="10"/>
      <c r="H112" s="10"/>
      <c r="I112" s="10"/>
      <c r="K112" s="10"/>
    </row>
    <row r="113" spans="3:11" x14ac:dyDescent="0.3">
      <c r="C113" s="10"/>
      <c r="D113" s="10"/>
      <c r="E113" s="10"/>
      <c r="F113" s="10"/>
      <c r="G113" s="10"/>
      <c r="H113" s="10"/>
      <c r="I113" s="10"/>
      <c r="K113" s="10"/>
    </row>
    <row r="114" spans="3:11" x14ac:dyDescent="0.3">
      <c r="C114" s="10"/>
      <c r="D114" s="10"/>
      <c r="E114" s="10"/>
      <c r="F114" s="10"/>
      <c r="G114" s="10"/>
      <c r="H114" s="10"/>
      <c r="I114" s="10"/>
      <c r="K114" s="10"/>
    </row>
    <row r="115" spans="3:11" x14ac:dyDescent="0.3">
      <c r="C115" s="10"/>
      <c r="D115" s="10"/>
      <c r="E115" s="10"/>
      <c r="F115" s="10"/>
      <c r="G115" s="10"/>
      <c r="H115" s="10"/>
      <c r="I115" s="10"/>
      <c r="K115" s="10"/>
    </row>
    <row r="116" spans="3:11" x14ac:dyDescent="0.3">
      <c r="C116" s="10"/>
      <c r="D116" s="10"/>
      <c r="E116" s="10"/>
      <c r="F116" s="10"/>
      <c r="G116" s="10"/>
      <c r="H116" s="10"/>
      <c r="I116" s="10"/>
      <c r="K116" s="10"/>
    </row>
    <row r="117" spans="3:11" x14ac:dyDescent="0.3">
      <c r="C117" s="10"/>
      <c r="D117" s="10"/>
      <c r="E117" s="10"/>
      <c r="F117" s="10"/>
      <c r="G117" s="10"/>
      <c r="H117" s="10"/>
      <c r="I117" s="10"/>
      <c r="K117" s="10"/>
    </row>
    <row r="118" spans="3:11" x14ac:dyDescent="0.3">
      <c r="C118" s="10"/>
      <c r="D118" s="10"/>
      <c r="E118" s="10"/>
      <c r="F118" s="10"/>
      <c r="G118" s="10"/>
      <c r="H118" s="10"/>
      <c r="I118" s="10"/>
      <c r="K118" s="10"/>
    </row>
    <row r="119" spans="3:11" x14ac:dyDescent="0.3">
      <c r="C119" s="10"/>
      <c r="D119" s="10"/>
      <c r="E119" s="10"/>
      <c r="F119" s="10"/>
      <c r="G119" s="10"/>
      <c r="H119" s="10"/>
      <c r="I119" s="10"/>
      <c r="K119" s="10"/>
    </row>
    <row r="120" spans="3:11" x14ac:dyDescent="0.3">
      <c r="C120" s="10"/>
      <c r="D120" s="10"/>
      <c r="E120" s="10"/>
      <c r="F120" s="10"/>
      <c r="G120" s="10"/>
      <c r="H120" s="10"/>
      <c r="I120" s="10"/>
      <c r="K120" s="10"/>
    </row>
    <row r="121" spans="3:11" x14ac:dyDescent="0.3">
      <c r="C121" s="10"/>
      <c r="D121" s="10"/>
      <c r="E121" s="10"/>
      <c r="F121" s="10"/>
      <c r="G121" s="10"/>
      <c r="H121" s="10"/>
      <c r="I121" s="10"/>
      <c r="K121" s="10"/>
    </row>
    <row r="122" spans="3:11" x14ac:dyDescent="0.3">
      <c r="C122" s="10"/>
      <c r="D122" s="10"/>
      <c r="E122" s="10"/>
      <c r="F122" s="10"/>
      <c r="G122" s="10"/>
      <c r="H122" s="10"/>
      <c r="I122" s="10"/>
      <c r="K122" s="10"/>
    </row>
    <row r="123" spans="3:11" x14ac:dyDescent="0.3">
      <c r="C123" s="10"/>
      <c r="D123" s="10"/>
      <c r="E123" s="10"/>
      <c r="F123" s="10"/>
      <c r="G123" s="10"/>
      <c r="H123" s="10"/>
      <c r="I123" s="10"/>
      <c r="K123" s="10"/>
    </row>
    <row r="124" spans="3:11" x14ac:dyDescent="0.3">
      <c r="C124" s="10"/>
      <c r="D124" s="10"/>
      <c r="E124" s="10"/>
      <c r="F124" s="10"/>
      <c r="G124" s="10"/>
      <c r="H124" s="10"/>
      <c r="I124" s="10"/>
      <c r="K124" s="10"/>
    </row>
    <row r="125" spans="3:11" x14ac:dyDescent="0.3">
      <c r="C125" s="10"/>
      <c r="D125" s="10"/>
      <c r="E125" s="10"/>
      <c r="F125" s="10"/>
      <c r="G125" s="10"/>
      <c r="H125" s="10"/>
      <c r="I125" s="10"/>
      <c r="K125" s="10"/>
    </row>
  </sheetData>
  <mergeCells count="1">
    <mergeCell ref="A1:B1"/>
  </mergeCells>
  <pageMargins left="0.25" right="0.25" top="0.75" bottom="0.75" header="0.3" footer="0.3"/>
  <pageSetup paperSize="66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EB3E-D282-4CE6-B3C2-A097898CE8A9}">
  <dimension ref="A1:K125"/>
  <sheetViews>
    <sheetView topLeftCell="A6" workbookViewId="0">
      <selection activeCell="M24" sqref="M24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3" t="s">
        <v>16</v>
      </c>
      <c r="D4" s="14" t="s">
        <v>17</v>
      </c>
      <c r="E4" s="14" t="s">
        <v>18</v>
      </c>
      <c r="F4" s="14" t="s">
        <v>19</v>
      </c>
      <c r="G4" s="15" t="s">
        <v>20</v>
      </c>
      <c r="H4" s="10"/>
      <c r="I4" s="10"/>
      <c r="K4" s="10"/>
    </row>
    <row r="5" spans="1:11" x14ac:dyDescent="0.3">
      <c r="B5" s="16" t="s">
        <v>5</v>
      </c>
      <c r="C5" s="24">
        <v>22000</v>
      </c>
      <c r="D5" s="25">
        <v>2000</v>
      </c>
      <c r="E5" s="25">
        <v>500</v>
      </c>
      <c r="F5" s="25">
        <v>5400</v>
      </c>
      <c r="G5" s="26">
        <v>23023.529411764703</v>
      </c>
      <c r="H5" s="10"/>
      <c r="I5" s="10"/>
      <c r="K5" s="10"/>
    </row>
    <row r="6" spans="1:11" x14ac:dyDescent="0.3">
      <c r="B6" s="17" t="s">
        <v>6</v>
      </c>
      <c r="C6" s="27">
        <v>15000</v>
      </c>
      <c r="D6" s="28">
        <v>5000</v>
      </c>
      <c r="E6" s="28">
        <v>1000</v>
      </c>
      <c r="F6" s="28">
        <v>4800</v>
      </c>
      <c r="G6" s="29">
        <v>28164.705882352933</v>
      </c>
      <c r="H6" s="10"/>
      <c r="I6" s="10"/>
      <c r="K6" s="10"/>
    </row>
    <row r="7" spans="1:11" x14ac:dyDescent="0.3">
      <c r="B7" s="17" t="s">
        <v>7</v>
      </c>
      <c r="C7" s="27">
        <v>10000</v>
      </c>
      <c r="D7" s="28">
        <v>12000</v>
      </c>
      <c r="E7" s="28">
        <v>500</v>
      </c>
      <c r="F7" s="28">
        <v>2400</v>
      </c>
      <c r="G7" s="29">
        <v>14905.882352941171</v>
      </c>
      <c r="H7" s="10"/>
      <c r="I7" s="10"/>
      <c r="K7" s="10"/>
    </row>
    <row r="8" spans="1:11" x14ac:dyDescent="0.3">
      <c r="B8" s="17" t="s">
        <v>8</v>
      </c>
      <c r="C8" s="27">
        <v>30000</v>
      </c>
      <c r="D8" s="28">
        <v>14999.999999999996</v>
      </c>
      <c r="E8" s="28">
        <v>200</v>
      </c>
      <c r="F8" s="28">
        <v>2699.9999999999982</v>
      </c>
      <c r="G8" s="29">
        <v>10581.176470588234</v>
      </c>
      <c r="H8" s="10"/>
      <c r="I8" s="10"/>
      <c r="K8" s="10"/>
    </row>
    <row r="9" spans="1:11" x14ac:dyDescent="0.3">
      <c r="B9" s="17" t="s">
        <v>9</v>
      </c>
      <c r="C9" s="27">
        <v>40000</v>
      </c>
      <c r="D9" s="28">
        <v>8000</v>
      </c>
      <c r="E9" s="28">
        <v>200</v>
      </c>
      <c r="F9" s="28">
        <v>2100</v>
      </c>
      <c r="G9" s="29">
        <v>7435.2941176470567</v>
      </c>
      <c r="H9" s="10"/>
      <c r="I9" s="10"/>
      <c r="K9" s="10"/>
    </row>
    <row r="10" spans="1:11" x14ac:dyDescent="0.3">
      <c r="B10" s="17" t="s">
        <v>10</v>
      </c>
      <c r="C10" s="27">
        <v>9999.9999999999927</v>
      </c>
      <c r="D10" s="28">
        <v>3000</v>
      </c>
      <c r="E10" s="28">
        <v>500</v>
      </c>
      <c r="F10" s="28">
        <v>2550</v>
      </c>
      <c r="G10" s="29">
        <v>12182.352941176474</v>
      </c>
      <c r="H10" s="10"/>
      <c r="I10" s="10"/>
      <c r="K10" s="10"/>
    </row>
    <row r="11" spans="1:11" x14ac:dyDescent="0.3">
      <c r="B11" s="17" t="s">
        <v>11</v>
      </c>
      <c r="C11" s="27">
        <v>12000</v>
      </c>
      <c r="D11" s="28">
        <v>6000</v>
      </c>
      <c r="E11" s="28">
        <v>2000</v>
      </c>
      <c r="F11" s="28">
        <v>1200</v>
      </c>
      <c r="G11" s="29">
        <v>10494.117647058823</v>
      </c>
      <c r="H11" s="10"/>
      <c r="I11" s="10"/>
      <c r="K11" s="10"/>
    </row>
    <row r="12" spans="1:11" x14ac:dyDescent="0.3">
      <c r="B12" s="17" t="s">
        <v>12</v>
      </c>
      <c r="C12" s="27">
        <v>12000</v>
      </c>
      <c r="D12" s="28">
        <v>8000</v>
      </c>
      <c r="E12" s="28">
        <v>500</v>
      </c>
      <c r="F12" s="28">
        <v>2250</v>
      </c>
      <c r="G12" s="29">
        <v>7611.7647058823513</v>
      </c>
      <c r="H12" s="10"/>
      <c r="I12" s="10"/>
      <c r="K12" s="10"/>
    </row>
    <row r="13" spans="1:11" x14ac:dyDescent="0.3">
      <c r="B13" s="17" t="s">
        <v>13</v>
      </c>
      <c r="C13" s="27">
        <v>800</v>
      </c>
      <c r="D13" s="28">
        <v>400</v>
      </c>
      <c r="E13" s="28">
        <v>4000</v>
      </c>
      <c r="F13" s="28">
        <v>0</v>
      </c>
      <c r="G13" s="29">
        <v>9.4117647058820868</v>
      </c>
      <c r="H13" s="10"/>
      <c r="I13" s="10"/>
      <c r="K13" s="10"/>
    </row>
    <row r="14" spans="1:11" x14ac:dyDescent="0.3">
      <c r="B14" s="18" t="s">
        <v>14</v>
      </c>
      <c r="C14" s="30">
        <v>500</v>
      </c>
      <c r="D14" s="31">
        <v>200</v>
      </c>
      <c r="E14" s="31">
        <v>1500</v>
      </c>
      <c r="F14" s="31">
        <v>150</v>
      </c>
      <c r="G14" s="32">
        <v>2076.4705882352941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8376500000</v>
      </c>
      <c r="D17" s="34">
        <f>SUM(D5:D14)*D18</f>
        <v>3874000000</v>
      </c>
      <c r="E17" s="34">
        <f>SUM(E5:E14)*E18</f>
        <v>872000000</v>
      </c>
      <c r="F17" s="34">
        <f>SUM(F5:F14)*F18</f>
        <v>1059750000</v>
      </c>
      <c r="G17" s="35">
        <f>SUM(G5:G14)*G18</f>
        <v>3494541176.4705887</v>
      </c>
      <c r="H17" s="36">
        <f>SUM(C17:G17)</f>
        <v>17676791176.470589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27999.999999999996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31999.999999999993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19999.999999999993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21999.999999999996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19000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15000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14500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12999.999999999998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1999.9999999999998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2500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22000</v>
      </c>
      <c r="D32" s="43">
        <f t="shared" si="1"/>
        <v>2000</v>
      </c>
      <c r="E32" s="43">
        <f t="shared" si="1"/>
        <v>500</v>
      </c>
      <c r="F32" s="43">
        <f t="shared" si="1"/>
        <v>5400</v>
      </c>
      <c r="G32" s="43">
        <f t="shared" si="1"/>
        <v>23023.529411764703</v>
      </c>
      <c r="H32" s="51">
        <f>0.4*SUM(C32:G32)</f>
        <v>21169.411764705881</v>
      </c>
      <c r="I32" s="10" t="s">
        <v>52</v>
      </c>
      <c r="J32" s="54">
        <f>F32</f>
        <v>5400</v>
      </c>
      <c r="K32" s="10"/>
    </row>
    <row r="33" spans="1:11" x14ac:dyDescent="0.3">
      <c r="B33" s="40" t="s">
        <v>6</v>
      </c>
      <c r="C33" s="44">
        <f t="shared" si="1"/>
        <v>15000</v>
      </c>
      <c r="D33" s="3">
        <f t="shared" si="1"/>
        <v>5000</v>
      </c>
      <c r="E33" s="3">
        <f t="shared" si="1"/>
        <v>1000</v>
      </c>
      <c r="F33" s="3">
        <f t="shared" si="1"/>
        <v>4800</v>
      </c>
      <c r="G33" s="3">
        <f t="shared" si="1"/>
        <v>28164.705882352933</v>
      </c>
      <c r="H33" s="52">
        <f t="shared" ref="H33:H41" si="2">0.4*SUM(C33:G33)</f>
        <v>21585.882352941175</v>
      </c>
      <c r="I33" s="10" t="s">
        <v>52</v>
      </c>
      <c r="J33" s="56">
        <f t="shared" ref="J33:J41" si="3">F33</f>
        <v>4800</v>
      </c>
      <c r="K33" s="10"/>
    </row>
    <row r="34" spans="1:11" x14ac:dyDescent="0.3">
      <c r="B34" s="40" t="s">
        <v>7</v>
      </c>
      <c r="C34" s="44">
        <f t="shared" si="1"/>
        <v>10000</v>
      </c>
      <c r="D34" s="3">
        <f t="shared" si="1"/>
        <v>12000</v>
      </c>
      <c r="E34" s="3">
        <f t="shared" si="1"/>
        <v>500</v>
      </c>
      <c r="F34" s="3">
        <f t="shared" si="1"/>
        <v>2400</v>
      </c>
      <c r="G34" s="3">
        <f t="shared" si="1"/>
        <v>14905.882352941171</v>
      </c>
      <c r="H34" s="52">
        <f t="shared" si="2"/>
        <v>15922.35294117647</v>
      </c>
      <c r="I34" s="10" t="s">
        <v>52</v>
      </c>
      <c r="J34" s="56">
        <f t="shared" si="3"/>
        <v>2400</v>
      </c>
      <c r="K34" s="10"/>
    </row>
    <row r="35" spans="1:11" x14ac:dyDescent="0.3">
      <c r="B35" s="40" t="s">
        <v>8</v>
      </c>
      <c r="C35" s="44">
        <f t="shared" si="1"/>
        <v>30000</v>
      </c>
      <c r="D35" s="3">
        <f t="shared" si="1"/>
        <v>14999.999999999996</v>
      </c>
      <c r="E35" s="3">
        <f t="shared" si="1"/>
        <v>200</v>
      </c>
      <c r="F35" s="3">
        <f t="shared" si="1"/>
        <v>2699.9999999999982</v>
      </c>
      <c r="G35" s="3">
        <f t="shared" si="1"/>
        <v>10581.176470588234</v>
      </c>
      <c r="H35" s="52">
        <f t="shared" si="2"/>
        <v>23392.470588235297</v>
      </c>
      <c r="I35" s="10" t="s">
        <v>52</v>
      </c>
      <c r="J35" s="56">
        <f t="shared" si="3"/>
        <v>2699.9999999999982</v>
      </c>
      <c r="K35" s="10"/>
    </row>
    <row r="36" spans="1:11" x14ac:dyDescent="0.3">
      <c r="B36" s="40" t="s">
        <v>9</v>
      </c>
      <c r="C36" s="44">
        <f t="shared" si="1"/>
        <v>40000</v>
      </c>
      <c r="D36" s="3">
        <f t="shared" si="1"/>
        <v>8000</v>
      </c>
      <c r="E36" s="3">
        <f t="shared" si="1"/>
        <v>200</v>
      </c>
      <c r="F36" s="3">
        <f t="shared" si="1"/>
        <v>2100</v>
      </c>
      <c r="G36" s="3">
        <f t="shared" si="1"/>
        <v>7435.2941176470567</v>
      </c>
      <c r="H36" s="52">
        <f t="shared" si="2"/>
        <v>23094.117647058825</v>
      </c>
      <c r="I36" s="10" t="s">
        <v>52</v>
      </c>
      <c r="J36" s="56">
        <f t="shared" si="3"/>
        <v>2100</v>
      </c>
      <c r="K36" s="10"/>
    </row>
    <row r="37" spans="1:11" x14ac:dyDescent="0.3">
      <c r="B37" s="40" t="s">
        <v>10</v>
      </c>
      <c r="C37" s="44">
        <f t="shared" si="1"/>
        <v>9999.9999999999927</v>
      </c>
      <c r="D37" s="3">
        <f t="shared" si="1"/>
        <v>3000</v>
      </c>
      <c r="E37" s="3">
        <f t="shared" si="1"/>
        <v>500</v>
      </c>
      <c r="F37" s="3">
        <f t="shared" si="1"/>
        <v>2550</v>
      </c>
      <c r="G37" s="3">
        <f t="shared" si="1"/>
        <v>12182.352941176474</v>
      </c>
      <c r="H37" s="52">
        <f t="shared" si="2"/>
        <v>11292.941176470587</v>
      </c>
      <c r="I37" s="10" t="s">
        <v>52</v>
      </c>
      <c r="J37" s="56">
        <f t="shared" si="3"/>
        <v>2550</v>
      </c>
      <c r="K37" s="10"/>
    </row>
    <row r="38" spans="1:11" x14ac:dyDescent="0.3">
      <c r="B38" s="40" t="s">
        <v>11</v>
      </c>
      <c r="C38" s="44">
        <f t="shared" si="1"/>
        <v>12000</v>
      </c>
      <c r="D38" s="3">
        <f t="shared" si="1"/>
        <v>6000</v>
      </c>
      <c r="E38" s="3">
        <f t="shared" si="1"/>
        <v>2000</v>
      </c>
      <c r="F38" s="3">
        <f t="shared" si="1"/>
        <v>1200</v>
      </c>
      <c r="G38" s="3">
        <f t="shared" si="1"/>
        <v>10494.117647058823</v>
      </c>
      <c r="H38" s="52">
        <f t="shared" si="2"/>
        <v>12677.647058823532</v>
      </c>
      <c r="I38" s="10" t="s">
        <v>52</v>
      </c>
      <c r="J38" s="56">
        <f t="shared" si="3"/>
        <v>1200</v>
      </c>
      <c r="K38" s="10"/>
    </row>
    <row r="39" spans="1:11" x14ac:dyDescent="0.3">
      <c r="B39" s="40" t="s">
        <v>12</v>
      </c>
      <c r="C39" s="44">
        <f t="shared" si="1"/>
        <v>12000</v>
      </c>
      <c r="D39" s="3">
        <f t="shared" si="1"/>
        <v>8000</v>
      </c>
      <c r="E39" s="3">
        <f t="shared" si="1"/>
        <v>500</v>
      </c>
      <c r="F39" s="3">
        <f t="shared" si="1"/>
        <v>2250</v>
      </c>
      <c r="G39" s="3">
        <f t="shared" si="1"/>
        <v>7611.7647058823513</v>
      </c>
      <c r="H39" s="52">
        <f t="shared" si="2"/>
        <v>12144.705882352941</v>
      </c>
      <c r="I39" s="10" t="s">
        <v>52</v>
      </c>
      <c r="J39" s="56">
        <f t="shared" si="3"/>
        <v>2250</v>
      </c>
      <c r="K39" s="10"/>
    </row>
    <row r="40" spans="1:11" x14ac:dyDescent="0.3">
      <c r="B40" s="40" t="s">
        <v>13</v>
      </c>
      <c r="C40" s="44">
        <f t="shared" si="1"/>
        <v>800</v>
      </c>
      <c r="D40" s="3">
        <f t="shared" si="1"/>
        <v>400</v>
      </c>
      <c r="E40" s="3">
        <f t="shared" si="1"/>
        <v>4000</v>
      </c>
      <c r="F40" s="3">
        <f t="shared" si="1"/>
        <v>0</v>
      </c>
      <c r="G40" s="3">
        <f t="shared" si="1"/>
        <v>9.4117647058820868</v>
      </c>
      <c r="H40" s="52">
        <f t="shared" si="2"/>
        <v>2083.7647058823527</v>
      </c>
      <c r="I40" s="10" t="s">
        <v>52</v>
      </c>
      <c r="J40" s="56">
        <f t="shared" si="3"/>
        <v>0</v>
      </c>
      <c r="K40" s="10"/>
    </row>
    <row r="41" spans="1:11" x14ac:dyDescent="0.3">
      <c r="B41" s="41" t="s">
        <v>14</v>
      </c>
      <c r="C41" s="45">
        <f t="shared" si="1"/>
        <v>500</v>
      </c>
      <c r="D41" s="46">
        <f t="shared" si="1"/>
        <v>200</v>
      </c>
      <c r="E41" s="46">
        <f t="shared" si="1"/>
        <v>1500</v>
      </c>
      <c r="F41" s="46">
        <f t="shared" si="1"/>
        <v>150</v>
      </c>
      <c r="G41" s="46">
        <f t="shared" si="1"/>
        <v>2076.4705882352941</v>
      </c>
      <c r="H41" s="53">
        <f t="shared" si="2"/>
        <v>1770.5882352941176</v>
      </c>
      <c r="I41" s="10" t="s">
        <v>52</v>
      </c>
      <c r="J41" s="59">
        <f t="shared" si="3"/>
        <v>150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5400</v>
      </c>
      <c r="G43" s="10"/>
      <c r="H43" s="51">
        <f>F43</f>
        <v>5400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4800</v>
      </c>
      <c r="G44" s="10"/>
      <c r="H44" s="52">
        <f t="shared" ref="H44:H52" si="5">F44</f>
        <v>4800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2400</v>
      </c>
      <c r="G45" s="10"/>
      <c r="H45" s="52">
        <f t="shared" si="5"/>
        <v>2400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2699.9999999999982</v>
      </c>
      <c r="G46" s="10"/>
      <c r="H46" s="52">
        <f t="shared" si="5"/>
        <v>2699.9999999999982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2100</v>
      </c>
      <c r="G47" s="10"/>
      <c r="H47" s="52">
        <f t="shared" si="5"/>
        <v>2100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2550</v>
      </c>
      <c r="G48" s="10"/>
      <c r="H48" s="52">
        <f t="shared" si="5"/>
        <v>2550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1200</v>
      </c>
      <c r="G49" s="10"/>
      <c r="H49" s="52">
        <f t="shared" si="5"/>
        <v>1200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2250</v>
      </c>
      <c r="G50" s="10"/>
      <c r="H50" s="52">
        <f t="shared" si="5"/>
        <v>2250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0</v>
      </c>
      <c r="G51" s="10"/>
      <c r="H51" s="52">
        <f t="shared" si="5"/>
        <v>0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150</v>
      </c>
      <c r="G52" s="10"/>
      <c r="H52" s="53">
        <f t="shared" si="5"/>
        <v>150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50</v>
      </c>
      <c r="F54" s="20">
        <f t="shared" ref="F54:G63" si="7">F5</f>
        <v>5400</v>
      </c>
      <c r="G54" s="20">
        <f t="shared" si="7"/>
        <v>23023.529411764703</v>
      </c>
      <c r="H54" s="51">
        <f>SUM(E54:G54)</f>
        <v>28473.529411764703</v>
      </c>
      <c r="I54" s="10" t="s">
        <v>52</v>
      </c>
      <c r="J54" s="51">
        <f>0.25*J21</f>
        <v>7000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150</v>
      </c>
      <c r="F55" s="10">
        <f t="shared" si="7"/>
        <v>4800</v>
      </c>
      <c r="G55" s="10">
        <f t="shared" si="7"/>
        <v>28164.705882352933</v>
      </c>
      <c r="H55" s="52">
        <f t="shared" ref="H55:H63" si="8">SUM(E55:G55)</f>
        <v>33114.705882352937</v>
      </c>
      <c r="I55" s="10" t="s">
        <v>52</v>
      </c>
      <c r="J55" s="52">
        <f t="shared" ref="J55:J63" si="9">0.25*J22</f>
        <v>8000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50</v>
      </c>
      <c r="F56" s="10">
        <f t="shared" si="7"/>
        <v>2400</v>
      </c>
      <c r="G56" s="10">
        <f t="shared" si="7"/>
        <v>14905.882352941171</v>
      </c>
      <c r="H56" s="52">
        <f t="shared" si="8"/>
        <v>17355.882352941171</v>
      </c>
      <c r="I56" s="10" t="s">
        <v>52</v>
      </c>
      <c r="J56" s="52">
        <f t="shared" si="9"/>
        <v>5000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16</v>
      </c>
      <c r="F57" s="10">
        <f t="shared" si="7"/>
        <v>2699.9999999999982</v>
      </c>
      <c r="G57" s="10">
        <f t="shared" si="7"/>
        <v>10581.176470588234</v>
      </c>
      <c r="H57" s="52">
        <f t="shared" si="8"/>
        <v>13297.176470588232</v>
      </c>
      <c r="I57" s="10" t="s">
        <v>52</v>
      </c>
      <c r="J57" s="52">
        <f t="shared" si="9"/>
        <v>5500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10</v>
      </c>
      <c r="F58" s="10">
        <f t="shared" si="7"/>
        <v>2100</v>
      </c>
      <c r="G58" s="10">
        <f t="shared" si="7"/>
        <v>7435.2941176470567</v>
      </c>
      <c r="H58" s="52">
        <f t="shared" si="8"/>
        <v>9545.2941176470558</v>
      </c>
      <c r="I58" s="10" t="s">
        <v>52</v>
      </c>
      <c r="J58" s="52">
        <f t="shared" si="9"/>
        <v>4750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60</v>
      </c>
      <c r="F59" s="10">
        <f t="shared" si="7"/>
        <v>2550</v>
      </c>
      <c r="G59" s="10">
        <f t="shared" si="7"/>
        <v>12182.352941176474</v>
      </c>
      <c r="H59" s="52">
        <f t="shared" si="8"/>
        <v>14792.352941176474</v>
      </c>
      <c r="I59" s="10" t="s">
        <v>52</v>
      </c>
      <c r="J59" s="52">
        <f t="shared" si="9"/>
        <v>3750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600</v>
      </c>
      <c r="F60" s="10">
        <f t="shared" si="7"/>
        <v>1200</v>
      </c>
      <c r="G60" s="10">
        <f t="shared" si="7"/>
        <v>10494.117647058823</v>
      </c>
      <c r="H60" s="52">
        <f t="shared" si="8"/>
        <v>12294.117647058823</v>
      </c>
      <c r="I60" s="10" t="s">
        <v>52</v>
      </c>
      <c r="J60" s="52">
        <f t="shared" si="9"/>
        <v>3625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75</v>
      </c>
      <c r="F61" s="10">
        <f t="shared" si="7"/>
        <v>2250</v>
      </c>
      <c r="G61" s="10">
        <f t="shared" si="7"/>
        <v>7611.7647058823513</v>
      </c>
      <c r="H61" s="52">
        <f t="shared" si="8"/>
        <v>9936.7647058823513</v>
      </c>
      <c r="I61" s="10" t="s">
        <v>52</v>
      </c>
      <c r="J61" s="52">
        <f t="shared" si="9"/>
        <v>3250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1800</v>
      </c>
      <c r="F62" s="10">
        <f t="shared" si="7"/>
        <v>0</v>
      </c>
      <c r="G62" s="10">
        <f t="shared" si="7"/>
        <v>9.4117647058820868</v>
      </c>
      <c r="H62" s="52">
        <f t="shared" si="8"/>
        <v>1809.411764705882</v>
      </c>
      <c r="I62" s="10" t="s">
        <v>52</v>
      </c>
      <c r="J62" s="52">
        <f t="shared" si="9"/>
        <v>500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525</v>
      </c>
      <c r="F63" s="23">
        <f t="shared" si="7"/>
        <v>150</v>
      </c>
      <c r="G63" s="23">
        <f t="shared" si="7"/>
        <v>2076.4705882352941</v>
      </c>
      <c r="H63" s="53">
        <f t="shared" si="8"/>
        <v>2751.4705882352941</v>
      </c>
      <c r="I63" s="10" t="s">
        <v>52</v>
      </c>
      <c r="J63" s="53">
        <f t="shared" si="9"/>
        <v>625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22000</v>
      </c>
      <c r="D66" s="10"/>
      <c r="E66" s="10"/>
      <c r="F66" s="10"/>
      <c r="G66" s="10"/>
      <c r="H66" s="51">
        <f>C66</f>
        <v>22000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15000</v>
      </c>
      <c r="D67" s="10"/>
      <c r="E67" s="10"/>
      <c r="F67" s="10"/>
      <c r="G67" s="10"/>
      <c r="H67" s="52">
        <f t="shared" ref="H67:H75" si="11">C67</f>
        <v>15000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10000</v>
      </c>
      <c r="D68" s="10"/>
      <c r="E68" s="10"/>
      <c r="F68" s="10"/>
      <c r="G68" s="10"/>
      <c r="H68" s="52">
        <f t="shared" si="11"/>
        <v>10000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30000</v>
      </c>
      <c r="D69" s="10"/>
      <c r="E69" s="10"/>
      <c r="F69" s="10"/>
      <c r="G69" s="10"/>
      <c r="H69" s="52">
        <f t="shared" si="11"/>
        <v>30000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40000</v>
      </c>
      <c r="D70" s="10"/>
      <c r="E70" s="10"/>
      <c r="F70" s="10"/>
      <c r="G70" s="10"/>
      <c r="H70" s="52">
        <f t="shared" si="11"/>
        <v>40000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9999.9999999999927</v>
      </c>
      <c r="D71" s="10"/>
      <c r="E71" s="10"/>
      <c r="F71" s="10"/>
      <c r="G71" s="10"/>
      <c r="H71" s="52">
        <f t="shared" si="11"/>
        <v>9999.9999999999927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12000</v>
      </c>
      <c r="D72" s="10"/>
      <c r="E72" s="10"/>
      <c r="F72" s="10"/>
      <c r="G72" s="10"/>
      <c r="H72" s="52">
        <f t="shared" si="11"/>
        <v>12000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12000</v>
      </c>
      <c r="D73" s="10"/>
      <c r="E73" s="10"/>
      <c r="F73" s="10"/>
      <c r="G73" s="10"/>
      <c r="H73" s="52">
        <f t="shared" si="11"/>
        <v>12000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800</v>
      </c>
      <c r="D74" s="10"/>
      <c r="E74" s="10"/>
      <c r="F74" s="10"/>
      <c r="G74" s="10"/>
      <c r="H74" s="52">
        <f t="shared" si="11"/>
        <v>800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500</v>
      </c>
      <c r="D75" s="10"/>
      <c r="E75" s="10"/>
      <c r="F75" s="10"/>
      <c r="G75" s="10"/>
      <c r="H75" s="53">
        <f t="shared" si="11"/>
        <v>500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2000</v>
      </c>
      <c r="E77" s="10"/>
      <c r="F77" s="10"/>
      <c r="G77" s="10"/>
      <c r="H77" s="51">
        <f>D77</f>
        <v>2000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5000</v>
      </c>
      <c r="E78" s="10"/>
      <c r="F78" s="10"/>
      <c r="G78" s="10"/>
      <c r="H78" s="52">
        <f t="shared" ref="H78:H86" si="13">D78</f>
        <v>5000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12000</v>
      </c>
      <c r="E79" s="10"/>
      <c r="F79" s="10"/>
      <c r="G79" s="10"/>
      <c r="H79" s="52">
        <f t="shared" si="13"/>
        <v>12000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14999.999999999996</v>
      </c>
      <c r="E80" s="10"/>
      <c r="F80" s="10"/>
      <c r="G80" s="10"/>
      <c r="H80" s="52">
        <f t="shared" si="13"/>
        <v>14999.999999999996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8000</v>
      </c>
      <c r="E81" s="10"/>
      <c r="F81" s="10"/>
      <c r="G81" s="10"/>
      <c r="H81" s="52">
        <f t="shared" si="13"/>
        <v>8000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3000</v>
      </c>
      <c r="E82" s="10"/>
      <c r="F82" s="10"/>
      <c r="G82" s="10"/>
      <c r="H82" s="52">
        <f t="shared" si="13"/>
        <v>3000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6000</v>
      </c>
      <c r="E83" s="10"/>
      <c r="F83" s="10"/>
      <c r="G83" s="10"/>
      <c r="H83" s="52">
        <f t="shared" si="13"/>
        <v>6000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8000</v>
      </c>
      <c r="E84" s="10"/>
      <c r="F84" s="10"/>
      <c r="G84" s="10"/>
      <c r="H84" s="52">
        <f t="shared" si="13"/>
        <v>8000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400</v>
      </c>
      <c r="E85" s="10"/>
      <c r="F85" s="10"/>
      <c r="G85" s="10"/>
      <c r="H85" s="52">
        <f t="shared" si="13"/>
        <v>400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200</v>
      </c>
      <c r="E86" s="10"/>
      <c r="F86" s="10"/>
      <c r="G86" s="10"/>
      <c r="H86" s="53">
        <f t="shared" si="13"/>
        <v>200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500</v>
      </c>
      <c r="F88" s="10"/>
      <c r="G88" s="10"/>
      <c r="H88" s="51">
        <f>E88</f>
        <v>500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1000</v>
      </c>
      <c r="F89" s="10"/>
      <c r="G89" s="10"/>
      <c r="H89" s="52">
        <f t="shared" ref="H89:H97" si="15">E89</f>
        <v>1000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500</v>
      </c>
      <c r="F90" s="10"/>
      <c r="G90" s="10"/>
      <c r="H90" s="52">
        <f t="shared" si="15"/>
        <v>500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200</v>
      </c>
      <c r="F91" s="10"/>
      <c r="G91" s="10"/>
      <c r="H91" s="52">
        <f t="shared" si="15"/>
        <v>200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200</v>
      </c>
      <c r="F92" s="10"/>
      <c r="G92" s="10"/>
      <c r="H92" s="52">
        <f t="shared" si="15"/>
        <v>200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500</v>
      </c>
      <c r="F93" s="10"/>
      <c r="G93" s="10"/>
      <c r="H93" s="52">
        <f t="shared" si="15"/>
        <v>500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2000</v>
      </c>
      <c r="F94" s="10"/>
      <c r="G94" s="10"/>
      <c r="H94" s="52">
        <f t="shared" si="15"/>
        <v>2000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500</v>
      </c>
      <c r="F95" s="10"/>
      <c r="G95" s="10"/>
      <c r="H95" s="52">
        <f t="shared" si="15"/>
        <v>500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4000</v>
      </c>
      <c r="F96" s="10"/>
      <c r="G96" s="10"/>
      <c r="H96" s="52">
        <f t="shared" si="15"/>
        <v>4000</v>
      </c>
      <c r="I96" s="10" t="s">
        <v>52</v>
      </c>
      <c r="J96" s="55">
        <v>4000</v>
      </c>
      <c r="K96" s="10"/>
    </row>
    <row r="97" spans="2:11" x14ac:dyDescent="0.3">
      <c r="B97" s="18" t="s">
        <v>14</v>
      </c>
      <c r="C97" s="10"/>
      <c r="D97" s="10"/>
      <c r="E97" s="49">
        <f t="shared" si="14"/>
        <v>1500</v>
      </c>
      <c r="F97" s="10"/>
      <c r="G97" s="10"/>
      <c r="H97" s="53">
        <f t="shared" si="15"/>
        <v>1500</v>
      </c>
      <c r="I97" s="10" t="s">
        <v>52</v>
      </c>
      <c r="J97" s="57">
        <v>1500</v>
      </c>
      <c r="K97" s="10"/>
    </row>
    <row r="98" spans="2:11" x14ac:dyDescent="0.3">
      <c r="C98" s="10"/>
      <c r="D98" s="10"/>
      <c r="E98" s="10"/>
      <c r="F98" s="10"/>
      <c r="G98" s="10"/>
      <c r="H98" s="10"/>
      <c r="I98" s="10"/>
      <c r="K98" s="10"/>
    </row>
    <row r="99" spans="2:11" x14ac:dyDescent="0.3">
      <c r="H99" s="10"/>
      <c r="I99" s="10"/>
      <c r="K99" s="10"/>
    </row>
    <row r="100" spans="2:11" x14ac:dyDescent="0.3">
      <c r="C100" s="10"/>
      <c r="D100" s="10"/>
      <c r="E100" s="10"/>
      <c r="F100" s="10"/>
      <c r="G100" s="10"/>
      <c r="H100" s="10"/>
      <c r="I100" s="10"/>
      <c r="K100" s="10"/>
    </row>
    <row r="101" spans="2:11" x14ac:dyDescent="0.3">
      <c r="C101" s="10"/>
      <c r="D101" s="10"/>
      <c r="E101" s="10"/>
      <c r="F101" s="10"/>
      <c r="G101" s="10"/>
      <c r="H101" s="10"/>
      <c r="I101" s="10"/>
      <c r="K101" s="10"/>
    </row>
    <row r="102" spans="2:11" x14ac:dyDescent="0.3">
      <c r="C102" s="10"/>
      <c r="D102" s="10"/>
      <c r="E102" s="10"/>
      <c r="F102" s="10"/>
      <c r="G102" s="10"/>
      <c r="H102" s="10"/>
      <c r="I102" s="10"/>
      <c r="K102" s="10"/>
    </row>
    <row r="103" spans="2:11" x14ac:dyDescent="0.3">
      <c r="C103" s="10"/>
      <c r="D103" s="10"/>
      <c r="E103" s="10"/>
      <c r="F103" s="10"/>
      <c r="G103" s="10"/>
      <c r="H103" s="10"/>
      <c r="I103" s="10"/>
      <c r="K103" s="10"/>
    </row>
    <row r="104" spans="2:11" x14ac:dyDescent="0.3">
      <c r="C104" s="10"/>
      <c r="D104" s="10"/>
      <c r="E104" s="10"/>
      <c r="F104" s="10"/>
      <c r="G104" s="10"/>
      <c r="H104" s="10"/>
      <c r="I104" s="10"/>
      <c r="K104" s="10"/>
    </row>
    <row r="105" spans="2:11" x14ac:dyDescent="0.3">
      <c r="C105" s="10"/>
      <c r="D105" s="10"/>
      <c r="E105" s="10"/>
      <c r="F105" s="10"/>
      <c r="G105" s="10"/>
      <c r="H105" s="10"/>
      <c r="I105" s="10"/>
      <c r="K105" s="10"/>
    </row>
    <row r="106" spans="2:11" x14ac:dyDescent="0.3">
      <c r="C106" s="10"/>
      <c r="D106" s="10"/>
      <c r="E106" s="10"/>
      <c r="F106" s="10"/>
      <c r="G106" s="10"/>
      <c r="H106" s="10"/>
      <c r="I106" s="10"/>
      <c r="K106" s="10"/>
    </row>
    <row r="107" spans="2:11" x14ac:dyDescent="0.3">
      <c r="C107" s="10"/>
      <c r="D107" s="10"/>
      <c r="E107" s="10"/>
      <c r="F107" s="10"/>
      <c r="G107" s="10"/>
      <c r="H107" s="10"/>
      <c r="I107" s="10"/>
      <c r="K107" s="10"/>
    </row>
    <row r="108" spans="2:11" x14ac:dyDescent="0.3">
      <c r="C108" s="10"/>
      <c r="D108" s="10"/>
      <c r="E108" s="10"/>
      <c r="F108" s="10"/>
      <c r="G108" s="10"/>
      <c r="H108" s="10"/>
      <c r="I108" s="10"/>
      <c r="K108" s="10"/>
    </row>
    <row r="109" spans="2:11" x14ac:dyDescent="0.3">
      <c r="C109" s="10"/>
      <c r="D109" s="10"/>
      <c r="E109" s="10"/>
      <c r="F109" s="10"/>
      <c r="G109" s="10"/>
      <c r="H109" s="10"/>
      <c r="I109" s="10"/>
      <c r="K109" s="10"/>
    </row>
    <row r="110" spans="2:11" x14ac:dyDescent="0.3">
      <c r="C110" s="10"/>
      <c r="D110" s="10"/>
      <c r="E110" s="10"/>
      <c r="F110" s="10"/>
      <c r="G110" s="10"/>
      <c r="H110" s="10"/>
      <c r="I110" s="10"/>
      <c r="K110" s="10"/>
    </row>
    <row r="111" spans="2:11" x14ac:dyDescent="0.3">
      <c r="C111" s="10"/>
      <c r="D111" s="10"/>
      <c r="E111" s="10"/>
      <c r="F111" s="10"/>
      <c r="G111" s="10"/>
      <c r="H111" s="10"/>
      <c r="I111" s="10"/>
      <c r="K111" s="10"/>
    </row>
    <row r="112" spans="2:11" x14ac:dyDescent="0.3">
      <c r="C112" s="10"/>
      <c r="D112" s="10"/>
      <c r="E112" s="10"/>
      <c r="F112" s="10"/>
      <c r="G112" s="10"/>
      <c r="H112" s="10"/>
      <c r="I112" s="10"/>
      <c r="K112" s="10"/>
    </row>
    <row r="113" spans="3:11" x14ac:dyDescent="0.3">
      <c r="C113" s="10"/>
      <c r="D113" s="10"/>
      <c r="E113" s="10"/>
      <c r="F113" s="10"/>
      <c r="G113" s="10"/>
      <c r="H113" s="10"/>
      <c r="I113" s="10"/>
      <c r="K113" s="10"/>
    </row>
    <row r="114" spans="3:11" x14ac:dyDescent="0.3">
      <c r="C114" s="10"/>
      <c r="D114" s="10"/>
      <c r="E114" s="10"/>
      <c r="F114" s="10"/>
      <c r="G114" s="10"/>
      <c r="H114" s="10"/>
      <c r="I114" s="10"/>
      <c r="K114" s="10"/>
    </row>
    <row r="115" spans="3:11" x14ac:dyDescent="0.3">
      <c r="C115" s="10"/>
      <c r="D115" s="10"/>
      <c r="E115" s="10"/>
      <c r="F115" s="10"/>
      <c r="G115" s="10"/>
      <c r="H115" s="10"/>
      <c r="I115" s="10"/>
      <c r="K115" s="10"/>
    </row>
    <row r="116" spans="3:11" x14ac:dyDescent="0.3">
      <c r="C116" s="10"/>
      <c r="D116" s="10"/>
      <c r="E116" s="10"/>
      <c r="F116" s="10"/>
      <c r="G116" s="10"/>
      <c r="H116" s="10"/>
      <c r="I116" s="10"/>
      <c r="K116" s="10"/>
    </row>
    <row r="117" spans="3:11" x14ac:dyDescent="0.3">
      <c r="C117" s="10"/>
      <c r="D117" s="10"/>
      <c r="E117" s="10"/>
      <c r="F117" s="10"/>
      <c r="G117" s="10"/>
      <c r="H117" s="10"/>
      <c r="I117" s="10"/>
      <c r="K117" s="10"/>
    </row>
    <row r="118" spans="3:11" x14ac:dyDescent="0.3">
      <c r="C118" s="10"/>
      <c r="D118" s="10"/>
      <c r="E118" s="10"/>
      <c r="F118" s="10"/>
      <c r="G118" s="10"/>
      <c r="H118" s="10"/>
      <c r="I118" s="10"/>
      <c r="K118" s="10"/>
    </row>
    <row r="119" spans="3:11" x14ac:dyDescent="0.3">
      <c r="C119" s="10"/>
      <c r="D119" s="10"/>
      <c r="E119" s="10"/>
      <c r="F119" s="10"/>
      <c r="G119" s="10"/>
      <c r="H119" s="10"/>
      <c r="I119" s="10"/>
      <c r="K119" s="10"/>
    </row>
    <row r="120" spans="3:11" x14ac:dyDescent="0.3">
      <c r="C120" s="10"/>
      <c r="D120" s="10"/>
      <c r="E120" s="10"/>
      <c r="F120" s="10"/>
      <c r="G120" s="10"/>
      <c r="H120" s="10"/>
      <c r="I120" s="10"/>
      <c r="K120" s="10"/>
    </row>
    <row r="121" spans="3:11" x14ac:dyDescent="0.3">
      <c r="C121" s="10"/>
      <c r="D121" s="10"/>
      <c r="E121" s="10"/>
      <c r="F121" s="10"/>
      <c r="G121" s="10"/>
      <c r="H121" s="10"/>
      <c r="I121" s="10"/>
      <c r="K121" s="10"/>
    </row>
    <row r="122" spans="3:11" x14ac:dyDescent="0.3">
      <c r="C122" s="10"/>
      <c r="D122" s="10"/>
      <c r="E122" s="10"/>
      <c r="F122" s="10"/>
      <c r="G122" s="10"/>
      <c r="H122" s="10"/>
      <c r="I122" s="10"/>
      <c r="K122" s="10"/>
    </row>
    <row r="123" spans="3:11" x14ac:dyDescent="0.3">
      <c r="C123" s="10"/>
      <c r="D123" s="10"/>
      <c r="E123" s="10"/>
      <c r="F123" s="10"/>
      <c r="G123" s="10"/>
      <c r="H123" s="10"/>
      <c r="I123" s="10"/>
      <c r="K123" s="10"/>
    </row>
    <row r="124" spans="3:11" x14ac:dyDescent="0.3">
      <c r="C124" s="10"/>
      <c r="D124" s="10"/>
      <c r="E124" s="10"/>
      <c r="F124" s="10"/>
      <c r="G124" s="10"/>
      <c r="H124" s="10"/>
      <c r="I124" s="10"/>
      <c r="K124" s="10"/>
    </row>
    <row r="125" spans="3:11" x14ac:dyDescent="0.3">
      <c r="C125" s="10"/>
      <c r="D125" s="10"/>
      <c r="E125" s="10"/>
      <c r="F125" s="10"/>
      <c r="G125" s="10"/>
      <c r="H125" s="10"/>
      <c r="I125" s="10"/>
      <c r="K125" s="10"/>
    </row>
  </sheetData>
  <mergeCells count="1">
    <mergeCell ref="A1:B1"/>
  </mergeCells>
  <pageMargins left="0.25" right="0.25" top="0.75" bottom="0.75" header="0.3" footer="0.3"/>
  <pageSetup paperSize="66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0FD7-2070-426E-BC3E-C0EF7AC785CE}">
  <dimension ref="A1:K125"/>
  <sheetViews>
    <sheetView topLeftCell="A21" workbookViewId="0">
      <selection activeCell="H43" sqref="H43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3" t="s">
        <v>16</v>
      </c>
      <c r="D4" s="14" t="s">
        <v>17</v>
      </c>
      <c r="E4" s="14" t="s">
        <v>18</v>
      </c>
      <c r="F4" s="14" t="s">
        <v>19</v>
      </c>
      <c r="G4" s="15" t="s">
        <v>20</v>
      </c>
      <c r="H4" s="10"/>
      <c r="I4" s="10"/>
      <c r="K4" s="10"/>
    </row>
    <row r="5" spans="1:11" x14ac:dyDescent="0.3">
      <c r="B5" s="16" t="s">
        <v>5</v>
      </c>
      <c r="C5" s="24">
        <v>22000</v>
      </c>
      <c r="D5" s="25">
        <v>2000</v>
      </c>
      <c r="E5" s="25">
        <v>500</v>
      </c>
      <c r="F5" s="25">
        <v>0</v>
      </c>
      <c r="G5" s="26">
        <v>27470.588235294126</v>
      </c>
      <c r="H5" s="10"/>
      <c r="I5" s="10"/>
      <c r="K5" s="10"/>
    </row>
    <row r="6" spans="1:11" x14ac:dyDescent="0.3">
      <c r="B6" s="17" t="s">
        <v>6</v>
      </c>
      <c r="C6" s="27">
        <v>15000</v>
      </c>
      <c r="D6" s="28">
        <v>5000</v>
      </c>
      <c r="E6" s="28">
        <v>1000</v>
      </c>
      <c r="F6" s="28">
        <v>0</v>
      </c>
      <c r="G6" s="29">
        <v>32117.647058823532</v>
      </c>
      <c r="H6" s="10"/>
      <c r="I6" s="10"/>
      <c r="K6" s="10"/>
    </row>
    <row r="7" spans="1:11" x14ac:dyDescent="0.3">
      <c r="B7" s="17" t="s">
        <v>7</v>
      </c>
      <c r="C7" s="27">
        <v>10000</v>
      </c>
      <c r="D7" s="28">
        <v>12000</v>
      </c>
      <c r="E7" s="28">
        <v>500</v>
      </c>
      <c r="F7" s="28">
        <v>0</v>
      </c>
      <c r="G7" s="29">
        <v>16882.352941176476</v>
      </c>
      <c r="H7" s="10"/>
      <c r="I7" s="10"/>
      <c r="K7" s="10"/>
    </row>
    <row r="8" spans="1:11" x14ac:dyDescent="0.3">
      <c r="B8" s="17" t="s">
        <v>8</v>
      </c>
      <c r="C8" s="27">
        <v>30000</v>
      </c>
      <c r="D8" s="28">
        <v>15000</v>
      </c>
      <c r="E8" s="28">
        <v>200</v>
      </c>
      <c r="F8" s="28">
        <v>0</v>
      </c>
      <c r="G8" s="29">
        <v>12804.705882352948</v>
      </c>
      <c r="H8" s="10"/>
      <c r="I8" s="10"/>
      <c r="K8" s="10"/>
    </row>
    <row r="9" spans="1:11" x14ac:dyDescent="0.3">
      <c r="B9" s="17" t="s">
        <v>9</v>
      </c>
      <c r="C9" s="27">
        <v>40000</v>
      </c>
      <c r="D9" s="28">
        <v>8000</v>
      </c>
      <c r="E9" s="28">
        <v>200</v>
      </c>
      <c r="F9" s="28">
        <v>0</v>
      </c>
      <c r="G9" s="29">
        <v>9164.7058823529442</v>
      </c>
      <c r="H9" s="10"/>
      <c r="I9" s="10"/>
      <c r="K9" s="10"/>
    </row>
    <row r="10" spans="1:11" x14ac:dyDescent="0.3">
      <c r="B10" s="17" t="s">
        <v>10</v>
      </c>
      <c r="C10" s="27">
        <v>10000</v>
      </c>
      <c r="D10" s="28">
        <v>3000</v>
      </c>
      <c r="E10" s="28">
        <v>500</v>
      </c>
      <c r="F10" s="28">
        <v>0</v>
      </c>
      <c r="G10" s="29">
        <v>14282.35294117647</v>
      </c>
      <c r="H10" s="10"/>
      <c r="I10" s="10"/>
      <c r="K10" s="10"/>
    </row>
    <row r="11" spans="1:11" x14ac:dyDescent="0.3">
      <c r="B11" s="17" t="s">
        <v>11</v>
      </c>
      <c r="C11" s="27">
        <v>12000</v>
      </c>
      <c r="D11" s="28">
        <v>6000</v>
      </c>
      <c r="E11" s="28">
        <v>2000</v>
      </c>
      <c r="F11" s="28">
        <v>0</v>
      </c>
      <c r="G11" s="29">
        <v>11482.352941176472</v>
      </c>
      <c r="H11" s="10"/>
      <c r="I11" s="10"/>
      <c r="K11" s="10"/>
    </row>
    <row r="12" spans="1:11" x14ac:dyDescent="0.3">
      <c r="B12" s="17" t="s">
        <v>12</v>
      </c>
      <c r="C12" s="27">
        <v>12000</v>
      </c>
      <c r="D12" s="28">
        <v>8000</v>
      </c>
      <c r="E12" s="28">
        <v>500</v>
      </c>
      <c r="F12" s="28">
        <v>0</v>
      </c>
      <c r="G12" s="29">
        <v>9464.7058823529442</v>
      </c>
      <c r="H12" s="10"/>
      <c r="I12" s="10"/>
      <c r="K12" s="10"/>
    </row>
    <row r="13" spans="1:11" x14ac:dyDescent="0.3">
      <c r="B13" s="17" t="s">
        <v>13</v>
      </c>
      <c r="C13" s="27">
        <v>800</v>
      </c>
      <c r="D13" s="28">
        <v>400</v>
      </c>
      <c r="E13" s="28">
        <v>4000</v>
      </c>
      <c r="F13" s="28">
        <v>0</v>
      </c>
      <c r="G13" s="29">
        <v>9.4117647058825469</v>
      </c>
      <c r="H13" s="10"/>
      <c r="I13" s="10"/>
      <c r="K13" s="10"/>
    </row>
    <row r="14" spans="1:11" x14ac:dyDescent="0.3">
      <c r="B14" s="18" t="s">
        <v>14</v>
      </c>
      <c r="C14" s="30">
        <v>500</v>
      </c>
      <c r="D14" s="31">
        <v>200</v>
      </c>
      <c r="E14" s="31">
        <v>1500</v>
      </c>
      <c r="F14" s="31">
        <v>0</v>
      </c>
      <c r="G14" s="32">
        <v>2200.0000000000005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8376500000</v>
      </c>
      <c r="D17" s="34">
        <f>SUM(D5:D14)*D18</f>
        <v>3874000000</v>
      </c>
      <c r="E17" s="34">
        <f>SUM(E5:E14)*E18</f>
        <v>872000000</v>
      </c>
      <c r="F17" s="34">
        <f>SUM(F5:F14)*F18</f>
        <v>0</v>
      </c>
      <c r="G17" s="35">
        <f>SUM(G5:G14)*G18</f>
        <v>4076364705.8823543</v>
      </c>
      <c r="H17" s="36">
        <f>SUM(C17:G17)</f>
        <v>17198864705.882355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28000.000000000007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32000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20000.000000000004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22000.000000000007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19000.000000000004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15000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14500.000000000002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13000.000000000004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2000.0000000000002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2500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22000</v>
      </c>
      <c r="D32" s="43">
        <f t="shared" si="1"/>
        <v>2000</v>
      </c>
      <c r="E32" s="43">
        <f t="shared" si="1"/>
        <v>500</v>
      </c>
      <c r="F32" s="43">
        <f t="shared" si="1"/>
        <v>0</v>
      </c>
      <c r="G32" s="43">
        <f t="shared" si="1"/>
        <v>27470.588235294126</v>
      </c>
      <c r="H32" s="51">
        <f>0.4*SUM(C32:G32)</f>
        <v>20788.23529411765</v>
      </c>
      <c r="I32" s="10" t="s">
        <v>52</v>
      </c>
      <c r="J32" s="54">
        <f>F32</f>
        <v>0</v>
      </c>
      <c r="K32" s="10"/>
    </row>
    <row r="33" spans="1:11" x14ac:dyDescent="0.3">
      <c r="B33" s="40" t="s">
        <v>6</v>
      </c>
      <c r="C33" s="44">
        <f t="shared" si="1"/>
        <v>15000</v>
      </c>
      <c r="D33" s="3">
        <f t="shared" si="1"/>
        <v>5000</v>
      </c>
      <c r="E33" s="3">
        <f t="shared" si="1"/>
        <v>1000</v>
      </c>
      <c r="F33" s="3">
        <f t="shared" si="1"/>
        <v>0</v>
      </c>
      <c r="G33" s="3">
        <f t="shared" si="1"/>
        <v>32117.647058823532</v>
      </c>
      <c r="H33" s="52">
        <f t="shared" ref="H33:H41" si="2">0.4*SUM(C33:G33)</f>
        <v>21247.058823529413</v>
      </c>
      <c r="I33" s="10" t="s">
        <v>52</v>
      </c>
      <c r="J33" s="56">
        <f t="shared" ref="J33:J41" si="3">F33</f>
        <v>0</v>
      </c>
      <c r="K33" s="10"/>
    </row>
    <row r="34" spans="1:11" x14ac:dyDescent="0.3">
      <c r="B34" s="40" t="s">
        <v>7</v>
      </c>
      <c r="C34" s="44">
        <f t="shared" si="1"/>
        <v>10000</v>
      </c>
      <c r="D34" s="3">
        <f t="shared" si="1"/>
        <v>12000</v>
      </c>
      <c r="E34" s="3">
        <f t="shared" si="1"/>
        <v>500</v>
      </c>
      <c r="F34" s="3">
        <f t="shared" si="1"/>
        <v>0</v>
      </c>
      <c r="G34" s="3">
        <f t="shared" si="1"/>
        <v>16882.352941176476</v>
      </c>
      <c r="H34" s="52">
        <f t="shared" si="2"/>
        <v>15752.941176470591</v>
      </c>
      <c r="I34" s="10" t="s">
        <v>52</v>
      </c>
      <c r="J34" s="56">
        <f t="shared" si="3"/>
        <v>0</v>
      </c>
      <c r="K34" s="10"/>
    </row>
    <row r="35" spans="1:11" x14ac:dyDescent="0.3">
      <c r="B35" s="40" t="s">
        <v>8</v>
      </c>
      <c r="C35" s="44">
        <f t="shared" si="1"/>
        <v>30000</v>
      </c>
      <c r="D35" s="3">
        <f t="shared" si="1"/>
        <v>15000</v>
      </c>
      <c r="E35" s="3">
        <f t="shared" si="1"/>
        <v>200</v>
      </c>
      <c r="F35" s="3">
        <f t="shared" si="1"/>
        <v>0</v>
      </c>
      <c r="G35" s="3">
        <f t="shared" si="1"/>
        <v>12804.705882352948</v>
      </c>
      <c r="H35" s="52">
        <f t="shared" si="2"/>
        <v>23201.882352941182</v>
      </c>
      <c r="I35" s="10" t="s">
        <v>52</v>
      </c>
      <c r="J35" s="56">
        <f t="shared" si="3"/>
        <v>0</v>
      </c>
      <c r="K35" s="10"/>
    </row>
    <row r="36" spans="1:11" x14ac:dyDescent="0.3">
      <c r="B36" s="40" t="s">
        <v>9</v>
      </c>
      <c r="C36" s="44">
        <f t="shared" si="1"/>
        <v>40000</v>
      </c>
      <c r="D36" s="3">
        <f t="shared" si="1"/>
        <v>8000</v>
      </c>
      <c r="E36" s="3">
        <f t="shared" si="1"/>
        <v>200</v>
      </c>
      <c r="F36" s="3">
        <f t="shared" si="1"/>
        <v>0</v>
      </c>
      <c r="G36" s="3">
        <f t="shared" si="1"/>
        <v>9164.7058823529442</v>
      </c>
      <c r="H36" s="52">
        <f t="shared" si="2"/>
        <v>22945.882352941178</v>
      </c>
      <c r="I36" s="10" t="s">
        <v>52</v>
      </c>
      <c r="J36" s="56">
        <f t="shared" si="3"/>
        <v>0</v>
      </c>
      <c r="K36" s="10"/>
    </row>
    <row r="37" spans="1:11" x14ac:dyDescent="0.3">
      <c r="B37" s="40" t="s">
        <v>10</v>
      </c>
      <c r="C37" s="44">
        <f t="shared" si="1"/>
        <v>10000</v>
      </c>
      <c r="D37" s="3">
        <f t="shared" si="1"/>
        <v>3000</v>
      </c>
      <c r="E37" s="3">
        <f t="shared" si="1"/>
        <v>500</v>
      </c>
      <c r="F37" s="3">
        <f t="shared" si="1"/>
        <v>0</v>
      </c>
      <c r="G37" s="3">
        <f t="shared" si="1"/>
        <v>14282.35294117647</v>
      </c>
      <c r="H37" s="52">
        <f t="shared" si="2"/>
        <v>11112.941176470587</v>
      </c>
      <c r="I37" s="10" t="s">
        <v>52</v>
      </c>
      <c r="J37" s="56">
        <f t="shared" si="3"/>
        <v>0</v>
      </c>
      <c r="K37" s="10"/>
    </row>
    <row r="38" spans="1:11" x14ac:dyDescent="0.3">
      <c r="B38" s="40" t="s">
        <v>11</v>
      </c>
      <c r="C38" s="44">
        <f t="shared" si="1"/>
        <v>12000</v>
      </c>
      <c r="D38" s="3">
        <f t="shared" si="1"/>
        <v>6000</v>
      </c>
      <c r="E38" s="3">
        <f t="shared" si="1"/>
        <v>2000</v>
      </c>
      <c r="F38" s="3">
        <f t="shared" si="1"/>
        <v>0</v>
      </c>
      <c r="G38" s="3">
        <f t="shared" si="1"/>
        <v>11482.352941176472</v>
      </c>
      <c r="H38" s="52">
        <f t="shared" si="2"/>
        <v>12592.941176470589</v>
      </c>
      <c r="I38" s="10" t="s">
        <v>52</v>
      </c>
      <c r="J38" s="56">
        <f t="shared" si="3"/>
        <v>0</v>
      </c>
      <c r="K38" s="10"/>
    </row>
    <row r="39" spans="1:11" x14ac:dyDescent="0.3">
      <c r="B39" s="40" t="s">
        <v>12</v>
      </c>
      <c r="C39" s="44">
        <f t="shared" si="1"/>
        <v>12000</v>
      </c>
      <c r="D39" s="3">
        <f t="shared" si="1"/>
        <v>8000</v>
      </c>
      <c r="E39" s="3">
        <f t="shared" si="1"/>
        <v>500</v>
      </c>
      <c r="F39" s="3">
        <f t="shared" si="1"/>
        <v>0</v>
      </c>
      <c r="G39" s="3">
        <f t="shared" si="1"/>
        <v>9464.7058823529442</v>
      </c>
      <c r="H39" s="52">
        <f t="shared" si="2"/>
        <v>11985.882352941178</v>
      </c>
      <c r="I39" s="10" t="s">
        <v>52</v>
      </c>
      <c r="J39" s="56">
        <f t="shared" si="3"/>
        <v>0</v>
      </c>
      <c r="K39" s="10"/>
    </row>
    <row r="40" spans="1:11" x14ac:dyDescent="0.3">
      <c r="B40" s="40" t="s">
        <v>13</v>
      </c>
      <c r="C40" s="44">
        <f t="shared" si="1"/>
        <v>800</v>
      </c>
      <c r="D40" s="3">
        <f t="shared" si="1"/>
        <v>400</v>
      </c>
      <c r="E40" s="3">
        <f t="shared" si="1"/>
        <v>4000</v>
      </c>
      <c r="F40" s="3">
        <f t="shared" si="1"/>
        <v>0</v>
      </c>
      <c r="G40" s="3">
        <f t="shared" si="1"/>
        <v>9.4117647058825469</v>
      </c>
      <c r="H40" s="52">
        <f t="shared" si="2"/>
        <v>2083.7647058823532</v>
      </c>
      <c r="I40" s="10" t="s">
        <v>52</v>
      </c>
      <c r="J40" s="56">
        <f t="shared" si="3"/>
        <v>0</v>
      </c>
      <c r="K40" s="10"/>
    </row>
    <row r="41" spans="1:11" x14ac:dyDescent="0.3">
      <c r="B41" s="41" t="s">
        <v>14</v>
      </c>
      <c r="C41" s="45">
        <f t="shared" si="1"/>
        <v>500</v>
      </c>
      <c r="D41" s="46">
        <f t="shared" si="1"/>
        <v>200</v>
      </c>
      <c r="E41" s="46">
        <f t="shared" si="1"/>
        <v>1500</v>
      </c>
      <c r="F41" s="46">
        <f t="shared" si="1"/>
        <v>0</v>
      </c>
      <c r="G41" s="46">
        <f t="shared" si="1"/>
        <v>2200.0000000000005</v>
      </c>
      <c r="H41" s="53">
        <f t="shared" si="2"/>
        <v>1760</v>
      </c>
      <c r="I41" s="10" t="s">
        <v>52</v>
      </c>
      <c r="J41" s="59">
        <f t="shared" si="3"/>
        <v>0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0</v>
      </c>
      <c r="G43" s="10"/>
      <c r="H43" s="51">
        <f>F43</f>
        <v>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0</v>
      </c>
      <c r="G44" s="10"/>
      <c r="H44" s="52">
        <f t="shared" ref="H44:H52" si="5">F44</f>
        <v>0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0</v>
      </c>
      <c r="G45" s="10"/>
      <c r="H45" s="52">
        <f t="shared" si="5"/>
        <v>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0</v>
      </c>
      <c r="G46" s="10"/>
      <c r="H46" s="52">
        <f t="shared" si="5"/>
        <v>0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0</v>
      </c>
      <c r="G47" s="10"/>
      <c r="H47" s="52">
        <f t="shared" si="5"/>
        <v>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0</v>
      </c>
      <c r="G48" s="10"/>
      <c r="H48" s="52">
        <f t="shared" si="5"/>
        <v>0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0</v>
      </c>
      <c r="G49" s="10"/>
      <c r="H49" s="52">
        <f t="shared" si="5"/>
        <v>0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0</v>
      </c>
      <c r="G50" s="10"/>
      <c r="H50" s="52">
        <f t="shared" si="5"/>
        <v>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0</v>
      </c>
      <c r="G51" s="10"/>
      <c r="H51" s="52">
        <f t="shared" si="5"/>
        <v>0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0</v>
      </c>
      <c r="G52" s="10"/>
      <c r="H52" s="53">
        <f t="shared" si="5"/>
        <v>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50</v>
      </c>
      <c r="F54" s="20">
        <f t="shared" ref="F54:G63" si="7">F5</f>
        <v>0</v>
      </c>
      <c r="G54" s="20">
        <f t="shared" si="7"/>
        <v>27470.588235294126</v>
      </c>
      <c r="H54" s="51">
        <f>SUM(E54:G54)</f>
        <v>27520.588235294126</v>
      </c>
      <c r="I54" s="10" t="s">
        <v>52</v>
      </c>
      <c r="J54" s="51">
        <f>0.25*J21</f>
        <v>7000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150</v>
      </c>
      <c r="F55" s="10">
        <f t="shared" si="7"/>
        <v>0</v>
      </c>
      <c r="G55" s="10">
        <f t="shared" si="7"/>
        <v>32117.647058823532</v>
      </c>
      <c r="H55" s="52">
        <f t="shared" ref="H55:H63" si="8">SUM(E55:G55)</f>
        <v>32267.647058823532</v>
      </c>
      <c r="I55" s="10" t="s">
        <v>52</v>
      </c>
      <c r="J55" s="52">
        <f t="shared" ref="J55:J63" si="9">0.25*J22</f>
        <v>8000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50</v>
      </c>
      <c r="F56" s="10">
        <f t="shared" si="7"/>
        <v>0</v>
      </c>
      <c r="G56" s="10">
        <f t="shared" si="7"/>
        <v>16882.352941176476</v>
      </c>
      <c r="H56" s="52">
        <f t="shared" si="8"/>
        <v>16932.352941176476</v>
      </c>
      <c r="I56" s="10" t="s">
        <v>52</v>
      </c>
      <c r="J56" s="52">
        <f t="shared" si="9"/>
        <v>5000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16</v>
      </c>
      <c r="F57" s="10">
        <f t="shared" si="7"/>
        <v>0</v>
      </c>
      <c r="G57" s="10">
        <f t="shared" si="7"/>
        <v>12804.705882352948</v>
      </c>
      <c r="H57" s="52">
        <f t="shared" si="8"/>
        <v>12820.705882352948</v>
      </c>
      <c r="I57" s="10" t="s">
        <v>52</v>
      </c>
      <c r="J57" s="52">
        <f t="shared" si="9"/>
        <v>5500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10</v>
      </c>
      <c r="F58" s="10">
        <f t="shared" si="7"/>
        <v>0</v>
      </c>
      <c r="G58" s="10">
        <f t="shared" si="7"/>
        <v>9164.7058823529442</v>
      </c>
      <c r="H58" s="52">
        <f t="shared" si="8"/>
        <v>9174.7058823529442</v>
      </c>
      <c r="I58" s="10" t="s">
        <v>52</v>
      </c>
      <c r="J58" s="52">
        <f t="shared" si="9"/>
        <v>4750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60</v>
      </c>
      <c r="F59" s="10">
        <f t="shared" si="7"/>
        <v>0</v>
      </c>
      <c r="G59" s="10">
        <f t="shared" si="7"/>
        <v>14282.35294117647</v>
      </c>
      <c r="H59" s="52">
        <f t="shared" si="8"/>
        <v>14342.35294117647</v>
      </c>
      <c r="I59" s="10" t="s">
        <v>52</v>
      </c>
      <c r="J59" s="52">
        <f t="shared" si="9"/>
        <v>3750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600</v>
      </c>
      <c r="F60" s="10">
        <f t="shared" si="7"/>
        <v>0</v>
      </c>
      <c r="G60" s="10">
        <f t="shared" si="7"/>
        <v>11482.352941176472</v>
      </c>
      <c r="H60" s="52">
        <f t="shared" si="8"/>
        <v>12082.352941176472</v>
      </c>
      <c r="I60" s="10" t="s">
        <v>52</v>
      </c>
      <c r="J60" s="52">
        <f t="shared" si="9"/>
        <v>3625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75</v>
      </c>
      <c r="F61" s="10">
        <f t="shared" si="7"/>
        <v>0</v>
      </c>
      <c r="G61" s="10">
        <f t="shared" si="7"/>
        <v>9464.7058823529442</v>
      </c>
      <c r="H61" s="52">
        <f t="shared" si="8"/>
        <v>9539.7058823529442</v>
      </c>
      <c r="I61" s="10" t="s">
        <v>52</v>
      </c>
      <c r="J61" s="52">
        <f t="shared" si="9"/>
        <v>3250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1800</v>
      </c>
      <c r="F62" s="10">
        <f t="shared" si="7"/>
        <v>0</v>
      </c>
      <c r="G62" s="10">
        <f t="shared" si="7"/>
        <v>9.4117647058825469</v>
      </c>
      <c r="H62" s="52">
        <f t="shared" si="8"/>
        <v>1809.4117647058824</v>
      </c>
      <c r="I62" s="10" t="s">
        <v>52</v>
      </c>
      <c r="J62" s="52">
        <f t="shared" si="9"/>
        <v>500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525</v>
      </c>
      <c r="F63" s="23">
        <f t="shared" si="7"/>
        <v>0</v>
      </c>
      <c r="G63" s="23">
        <f t="shared" si="7"/>
        <v>2200.0000000000005</v>
      </c>
      <c r="H63" s="53">
        <f t="shared" si="8"/>
        <v>2725.0000000000005</v>
      </c>
      <c r="I63" s="10" t="s">
        <v>52</v>
      </c>
      <c r="J63" s="53">
        <f t="shared" si="9"/>
        <v>625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22000</v>
      </c>
      <c r="D66" s="10"/>
      <c r="E66" s="10"/>
      <c r="F66" s="10"/>
      <c r="G66" s="10"/>
      <c r="H66" s="51">
        <f>C66</f>
        <v>22000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15000</v>
      </c>
      <c r="D67" s="10"/>
      <c r="E67" s="10"/>
      <c r="F67" s="10"/>
      <c r="G67" s="10"/>
      <c r="H67" s="52">
        <f t="shared" ref="H67:H75" si="11">C67</f>
        <v>15000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10000</v>
      </c>
      <c r="D68" s="10"/>
      <c r="E68" s="10"/>
      <c r="F68" s="10"/>
      <c r="G68" s="10"/>
      <c r="H68" s="52">
        <f t="shared" si="11"/>
        <v>10000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30000</v>
      </c>
      <c r="D69" s="10"/>
      <c r="E69" s="10"/>
      <c r="F69" s="10"/>
      <c r="G69" s="10"/>
      <c r="H69" s="52">
        <f t="shared" si="11"/>
        <v>30000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40000</v>
      </c>
      <c r="D70" s="10"/>
      <c r="E70" s="10"/>
      <c r="F70" s="10"/>
      <c r="G70" s="10"/>
      <c r="H70" s="52">
        <f t="shared" si="11"/>
        <v>40000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10000</v>
      </c>
      <c r="D71" s="10"/>
      <c r="E71" s="10"/>
      <c r="F71" s="10"/>
      <c r="G71" s="10"/>
      <c r="H71" s="52">
        <f t="shared" si="11"/>
        <v>10000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12000</v>
      </c>
      <c r="D72" s="10"/>
      <c r="E72" s="10"/>
      <c r="F72" s="10"/>
      <c r="G72" s="10"/>
      <c r="H72" s="52">
        <f t="shared" si="11"/>
        <v>12000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12000</v>
      </c>
      <c r="D73" s="10"/>
      <c r="E73" s="10"/>
      <c r="F73" s="10"/>
      <c r="G73" s="10"/>
      <c r="H73" s="52">
        <f t="shared" si="11"/>
        <v>12000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800</v>
      </c>
      <c r="D74" s="10"/>
      <c r="E74" s="10"/>
      <c r="F74" s="10"/>
      <c r="G74" s="10"/>
      <c r="H74" s="52">
        <f t="shared" si="11"/>
        <v>800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500</v>
      </c>
      <c r="D75" s="10"/>
      <c r="E75" s="10"/>
      <c r="F75" s="10"/>
      <c r="G75" s="10"/>
      <c r="H75" s="53">
        <f t="shared" si="11"/>
        <v>500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2000</v>
      </c>
      <c r="E77" s="10"/>
      <c r="F77" s="10"/>
      <c r="G77" s="10"/>
      <c r="H77" s="51">
        <f>D77</f>
        <v>2000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5000</v>
      </c>
      <c r="E78" s="10"/>
      <c r="F78" s="10"/>
      <c r="G78" s="10"/>
      <c r="H78" s="52">
        <f t="shared" ref="H78:H86" si="13">D78</f>
        <v>5000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12000</v>
      </c>
      <c r="E79" s="10"/>
      <c r="F79" s="10"/>
      <c r="G79" s="10"/>
      <c r="H79" s="52">
        <f t="shared" si="13"/>
        <v>12000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15000</v>
      </c>
      <c r="E80" s="10"/>
      <c r="F80" s="10"/>
      <c r="G80" s="10"/>
      <c r="H80" s="52">
        <f t="shared" si="13"/>
        <v>15000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8000</v>
      </c>
      <c r="E81" s="10"/>
      <c r="F81" s="10"/>
      <c r="G81" s="10"/>
      <c r="H81" s="52">
        <f t="shared" si="13"/>
        <v>8000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3000</v>
      </c>
      <c r="E82" s="10"/>
      <c r="F82" s="10"/>
      <c r="G82" s="10"/>
      <c r="H82" s="52">
        <f t="shared" si="13"/>
        <v>3000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6000</v>
      </c>
      <c r="E83" s="10"/>
      <c r="F83" s="10"/>
      <c r="G83" s="10"/>
      <c r="H83" s="52">
        <f t="shared" si="13"/>
        <v>6000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8000</v>
      </c>
      <c r="E84" s="10"/>
      <c r="F84" s="10"/>
      <c r="G84" s="10"/>
      <c r="H84" s="52">
        <f t="shared" si="13"/>
        <v>8000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400</v>
      </c>
      <c r="E85" s="10"/>
      <c r="F85" s="10"/>
      <c r="G85" s="10"/>
      <c r="H85" s="52">
        <f t="shared" si="13"/>
        <v>400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200</v>
      </c>
      <c r="E86" s="10"/>
      <c r="F86" s="10"/>
      <c r="G86" s="10"/>
      <c r="H86" s="53">
        <f t="shared" si="13"/>
        <v>200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500</v>
      </c>
      <c r="F88" s="10"/>
      <c r="G88" s="10"/>
      <c r="H88" s="51">
        <f>E88</f>
        <v>500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1000</v>
      </c>
      <c r="F89" s="10"/>
      <c r="G89" s="10"/>
      <c r="H89" s="52">
        <f t="shared" ref="H89:H97" si="15">E89</f>
        <v>1000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500</v>
      </c>
      <c r="F90" s="10"/>
      <c r="G90" s="10"/>
      <c r="H90" s="52">
        <f t="shared" si="15"/>
        <v>500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200</v>
      </c>
      <c r="F91" s="10"/>
      <c r="G91" s="10"/>
      <c r="H91" s="52">
        <f t="shared" si="15"/>
        <v>200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200</v>
      </c>
      <c r="F92" s="10"/>
      <c r="G92" s="10"/>
      <c r="H92" s="52">
        <f t="shared" si="15"/>
        <v>200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500</v>
      </c>
      <c r="F93" s="10"/>
      <c r="G93" s="10"/>
      <c r="H93" s="52">
        <f t="shared" si="15"/>
        <v>500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2000</v>
      </c>
      <c r="F94" s="10"/>
      <c r="G94" s="10"/>
      <c r="H94" s="52">
        <f t="shared" si="15"/>
        <v>2000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500</v>
      </c>
      <c r="F95" s="10"/>
      <c r="G95" s="10"/>
      <c r="H95" s="52">
        <f t="shared" si="15"/>
        <v>500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4000</v>
      </c>
      <c r="F96" s="10"/>
      <c r="G96" s="10"/>
      <c r="H96" s="52">
        <f t="shared" si="15"/>
        <v>4000</v>
      </c>
      <c r="I96" s="10" t="s">
        <v>52</v>
      </c>
      <c r="J96" s="55">
        <v>4000</v>
      </c>
      <c r="K96" s="10"/>
    </row>
    <row r="97" spans="2:11" x14ac:dyDescent="0.3">
      <c r="B97" s="18" t="s">
        <v>14</v>
      </c>
      <c r="C97" s="10"/>
      <c r="D97" s="10"/>
      <c r="E97" s="49">
        <f t="shared" si="14"/>
        <v>1500</v>
      </c>
      <c r="F97" s="10"/>
      <c r="G97" s="10"/>
      <c r="H97" s="53">
        <f t="shared" si="15"/>
        <v>1500</v>
      </c>
      <c r="I97" s="10" t="s">
        <v>52</v>
      </c>
      <c r="J97" s="57">
        <v>1500</v>
      </c>
      <c r="K97" s="10"/>
    </row>
    <row r="98" spans="2:11" x14ac:dyDescent="0.3">
      <c r="C98" s="10"/>
      <c r="D98" s="10"/>
      <c r="E98" s="10"/>
      <c r="F98" s="10"/>
      <c r="G98" s="10"/>
      <c r="H98" s="10"/>
      <c r="I98" s="10"/>
      <c r="K98" s="10"/>
    </row>
    <row r="99" spans="2:11" x14ac:dyDescent="0.3">
      <c r="H99" s="10"/>
      <c r="I99" s="10"/>
      <c r="K99" s="10"/>
    </row>
    <row r="100" spans="2:11" x14ac:dyDescent="0.3">
      <c r="C100" s="10"/>
      <c r="D100" s="10"/>
      <c r="E100" s="10"/>
      <c r="F100" s="10"/>
      <c r="G100" s="10"/>
      <c r="H100" s="10"/>
      <c r="I100" s="10"/>
      <c r="K100" s="10"/>
    </row>
    <row r="101" spans="2:11" x14ac:dyDescent="0.3">
      <c r="C101" s="10"/>
      <c r="D101" s="10"/>
      <c r="E101" s="10"/>
      <c r="F101" s="10"/>
      <c r="G101" s="10"/>
      <c r="H101" s="10"/>
      <c r="I101" s="10"/>
      <c r="K101" s="10"/>
    </row>
    <row r="102" spans="2:11" x14ac:dyDescent="0.3">
      <c r="C102" s="10"/>
      <c r="D102" s="10"/>
      <c r="E102" s="10"/>
      <c r="F102" s="10"/>
      <c r="G102" s="10"/>
      <c r="H102" s="10"/>
      <c r="I102" s="10"/>
      <c r="K102" s="10"/>
    </row>
    <row r="103" spans="2:11" x14ac:dyDescent="0.3">
      <c r="C103" s="10"/>
      <c r="D103" s="10"/>
      <c r="E103" s="10"/>
      <c r="F103" s="10"/>
      <c r="G103" s="10"/>
      <c r="H103" s="10"/>
      <c r="I103" s="10"/>
      <c r="K103" s="10"/>
    </row>
    <row r="104" spans="2:11" x14ac:dyDescent="0.3">
      <c r="C104" s="10"/>
      <c r="D104" s="10"/>
      <c r="E104" s="10"/>
      <c r="F104" s="10"/>
      <c r="G104" s="10"/>
      <c r="H104" s="10"/>
      <c r="I104" s="10"/>
      <c r="K104" s="10"/>
    </row>
    <row r="105" spans="2:11" x14ac:dyDescent="0.3">
      <c r="C105" s="10"/>
      <c r="D105" s="10"/>
      <c r="E105" s="10"/>
      <c r="F105" s="10"/>
      <c r="G105" s="10"/>
      <c r="H105" s="10"/>
      <c r="I105" s="10"/>
      <c r="K105" s="10"/>
    </row>
    <row r="106" spans="2:11" x14ac:dyDescent="0.3">
      <c r="C106" s="10"/>
      <c r="D106" s="10"/>
      <c r="E106" s="10"/>
      <c r="F106" s="10"/>
      <c r="G106" s="10"/>
      <c r="H106" s="10"/>
      <c r="I106" s="10"/>
      <c r="K106" s="10"/>
    </row>
    <row r="107" spans="2:11" x14ac:dyDescent="0.3">
      <c r="C107" s="10"/>
      <c r="D107" s="10"/>
      <c r="E107" s="10"/>
      <c r="F107" s="10"/>
      <c r="G107" s="10"/>
      <c r="H107" s="10"/>
      <c r="I107" s="10"/>
      <c r="K107" s="10"/>
    </row>
    <row r="108" spans="2:11" x14ac:dyDescent="0.3">
      <c r="C108" s="10"/>
      <c r="D108" s="10"/>
      <c r="E108" s="10"/>
      <c r="F108" s="10"/>
      <c r="G108" s="10"/>
      <c r="H108" s="10"/>
      <c r="I108" s="10"/>
      <c r="K108" s="10"/>
    </row>
    <row r="109" spans="2:11" x14ac:dyDescent="0.3">
      <c r="C109" s="10"/>
      <c r="D109" s="10"/>
      <c r="E109" s="10"/>
      <c r="F109" s="10"/>
      <c r="G109" s="10"/>
      <c r="H109" s="10"/>
      <c r="I109" s="10"/>
      <c r="K109" s="10"/>
    </row>
    <row r="110" spans="2:11" x14ac:dyDescent="0.3">
      <c r="C110" s="10"/>
      <c r="D110" s="10"/>
      <c r="E110" s="10"/>
      <c r="F110" s="10"/>
      <c r="G110" s="10"/>
      <c r="H110" s="10"/>
      <c r="I110" s="10"/>
      <c r="K110" s="10"/>
    </row>
    <row r="111" spans="2:11" x14ac:dyDescent="0.3">
      <c r="C111" s="10"/>
      <c r="D111" s="10"/>
      <c r="E111" s="10"/>
      <c r="F111" s="10"/>
      <c r="G111" s="10"/>
      <c r="H111" s="10"/>
      <c r="I111" s="10"/>
      <c r="K111" s="10"/>
    </row>
    <row r="112" spans="2:11" x14ac:dyDescent="0.3">
      <c r="C112" s="10"/>
      <c r="D112" s="10"/>
      <c r="E112" s="10"/>
      <c r="F112" s="10"/>
      <c r="G112" s="10"/>
      <c r="H112" s="10"/>
      <c r="I112" s="10"/>
      <c r="K112" s="10"/>
    </row>
    <row r="113" spans="3:11" x14ac:dyDescent="0.3">
      <c r="C113" s="10"/>
      <c r="D113" s="10"/>
      <c r="E113" s="10"/>
      <c r="F113" s="10"/>
      <c r="G113" s="10"/>
      <c r="H113" s="10"/>
      <c r="I113" s="10"/>
      <c r="K113" s="10"/>
    </row>
    <row r="114" spans="3:11" x14ac:dyDescent="0.3">
      <c r="C114" s="10"/>
      <c r="D114" s="10"/>
      <c r="E114" s="10"/>
      <c r="F114" s="10"/>
      <c r="G114" s="10"/>
      <c r="H114" s="10"/>
      <c r="I114" s="10"/>
      <c r="K114" s="10"/>
    </row>
    <row r="115" spans="3:11" x14ac:dyDescent="0.3">
      <c r="C115" s="10"/>
      <c r="D115" s="10"/>
      <c r="E115" s="10"/>
      <c r="F115" s="10"/>
      <c r="G115" s="10"/>
      <c r="H115" s="10"/>
      <c r="I115" s="10"/>
      <c r="K115" s="10"/>
    </row>
    <row r="116" spans="3:11" x14ac:dyDescent="0.3">
      <c r="C116" s="10"/>
      <c r="D116" s="10"/>
      <c r="E116" s="10"/>
      <c r="F116" s="10"/>
      <c r="G116" s="10"/>
      <c r="H116" s="10"/>
      <c r="I116" s="10"/>
      <c r="K116" s="10"/>
    </row>
    <row r="117" spans="3:11" x14ac:dyDescent="0.3">
      <c r="C117" s="10"/>
      <c r="D117" s="10"/>
      <c r="E117" s="10"/>
      <c r="F117" s="10"/>
      <c r="G117" s="10"/>
      <c r="H117" s="10"/>
      <c r="I117" s="10"/>
      <c r="K117" s="10"/>
    </row>
    <row r="118" spans="3:11" x14ac:dyDescent="0.3">
      <c r="C118" s="10"/>
      <c r="D118" s="10"/>
      <c r="E118" s="10"/>
      <c r="F118" s="10"/>
      <c r="G118" s="10"/>
      <c r="H118" s="10"/>
      <c r="I118" s="10"/>
      <c r="K118" s="10"/>
    </row>
    <row r="119" spans="3:11" x14ac:dyDescent="0.3">
      <c r="C119" s="10"/>
      <c r="D119" s="10"/>
      <c r="E119" s="10"/>
      <c r="F119" s="10"/>
      <c r="G119" s="10"/>
      <c r="H119" s="10"/>
      <c r="I119" s="10"/>
      <c r="K119" s="10"/>
    </row>
    <row r="120" spans="3:11" x14ac:dyDescent="0.3">
      <c r="C120" s="10"/>
      <c r="D120" s="10"/>
      <c r="E120" s="10"/>
      <c r="F120" s="10"/>
      <c r="G120" s="10"/>
      <c r="H120" s="10"/>
      <c r="I120" s="10"/>
      <c r="K120" s="10"/>
    </row>
    <row r="121" spans="3:11" x14ac:dyDescent="0.3">
      <c r="C121" s="10"/>
      <c r="D121" s="10"/>
      <c r="E121" s="10"/>
      <c r="F121" s="10"/>
      <c r="G121" s="10"/>
      <c r="H121" s="10"/>
      <c r="I121" s="10"/>
      <c r="K121" s="10"/>
    </row>
    <row r="122" spans="3:11" x14ac:dyDescent="0.3">
      <c r="C122" s="10"/>
      <c r="D122" s="10"/>
      <c r="E122" s="10"/>
      <c r="F122" s="10"/>
      <c r="G122" s="10"/>
      <c r="H122" s="10"/>
      <c r="I122" s="10"/>
      <c r="K122" s="10"/>
    </row>
    <row r="123" spans="3:11" x14ac:dyDescent="0.3">
      <c r="C123" s="10"/>
      <c r="D123" s="10"/>
      <c r="E123" s="10"/>
      <c r="F123" s="10"/>
      <c r="G123" s="10"/>
      <c r="H123" s="10"/>
      <c r="I123" s="10"/>
      <c r="K123" s="10"/>
    </row>
    <row r="124" spans="3:11" x14ac:dyDescent="0.3">
      <c r="C124" s="10"/>
      <c r="D124" s="10"/>
      <c r="E124" s="10"/>
      <c r="F124" s="10"/>
      <c r="G124" s="10"/>
      <c r="H124" s="10"/>
      <c r="I124" s="10"/>
      <c r="K124" s="10"/>
    </row>
    <row r="125" spans="3:11" x14ac:dyDescent="0.3">
      <c r="C125" s="10"/>
      <c r="D125" s="10"/>
      <c r="E125" s="10"/>
      <c r="F125" s="10"/>
      <c r="G125" s="10"/>
      <c r="H125" s="10"/>
      <c r="I125" s="10"/>
      <c r="K125" s="10"/>
    </row>
  </sheetData>
  <mergeCells count="1">
    <mergeCell ref="A1:B1"/>
  </mergeCells>
  <pageMargins left="0.25" right="0.25" top="0.75" bottom="0.75" header="0.3" footer="0.3"/>
  <pageSetup paperSize="66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88F3-D335-4467-A5C3-BC4C372914C5}">
  <dimension ref="A1:K125"/>
  <sheetViews>
    <sheetView topLeftCell="A45" workbookViewId="0">
      <selection activeCell="L15" sqref="L15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3" t="s">
        <v>16</v>
      </c>
      <c r="D4" s="14" t="s">
        <v>17</v>
      </c>
      <c r="E4" s="14" t="s">
        <v>18</v>
      </c>
      <c r="F4" s="14" t="s">
        <v>19</v>
      </c>
      <c r="G4" s="15" t="s">
        <v>20</v>
      </c>
      <c r="H4" s="10"/>
      <c r="I4" s="10"/>
      <c r="K4" s="10"/>
    </row>
    <row r="5" spans="1:11" x14ac:dyDescent="0.3">
      <c r="B5" s="16" t="s">
        <v>5</v>
      </c>
      <c r="C5" s="24">
        <v>22000</v>
      </c>
      <c r="D5" s="25">
        <v>1999.9999999999998</v>
      </c>
      <c r="E5" s="25">
        <v>500</v>
      </c>
      <c r="F5" s="25">
        <v>5400</v>
      </c>
      <c r="G5" s="26">
        <v>23023.529411764699</v>
      </c>
      <c r="H5" s="10"/>
      <c r="I5" s="10"/>
      <c r="K5" s="10"/>
    </row>
    <row r="6" spans="1:11" x14ac:dyDescent="0.3">
      <c r="B6" s="17" t="s">
        <v>6</v>
      </c>
      <c r="C6" s="27">
        <v>15000</v>
      </c>
      <c r="D6" s="28">
        <v>5000</v>
      </c>
      <c r="E6" s="28">
        <v>1000</v>
      </c>
      <c r="F6" s="28">
        <v>4800</v>
      </c>
      <c r="G6" s="29">
        <v>28164.705882352944</v>
      </c>
      <c r="H6" s="10"/>
      <c r="I6" s="10"/>
      <c r="K6" s="10"/>
    </row>
    <row r="7" spans="1:11" x14ac:dyDescent="0.3">
      <c r="B7" s="17" t="s">
        <v>7</v>
      </c>
      <c r="C7" s="27">
        <v>10000</v>
      </c>
      <c r="D7" s="28">
        <v>12000</v>
      </c>
      <c r="E7" s="28">
        <v>500</v>
      </c>
      <c r="F7" s="28">
        <v>2400</v>
      </c>
      <c r="G7" s="29">
        <v>14905.882352941178</v>
      </c>
      <c r="H7" s="10"/>
      <c r="I7" s="10"/>
      <c r="K7" s="10"/>
    </row>
    <row r="8" spans="1:11" x14ac:dyDescent="0.3">
      <c r="B8" s="17" t="s">
        <v>8</v>
      </c>
      <c r="C8" s="27">
        <v>30000</v>
      </c>
      <c r="D8" s="28">
        <v>15000</v>
      </c>
      <c r="E8" s="28">
        <v>199.99999999999997</v>
      </c>
      <c r="F8" s="28">
        <v>2700</v>
      </c>
      <c r="G8" s="29">
        <v>10581.176470588243</v>
      </c>
      <c r="H8" s="10"/>
      <c r="I8" s="10"/>
      <c r="K8" s="10"/>
    </row>
    <row r="9" spans="1:11" x14ac:dyDescent="0.3">
      <c r="B9" s="17" t="s">
        <v>9</v>
      </c>
      <c r="C9" s="27">
        <v>40000</v>
      </c>
      <c r="D9" s="28">
        <v>8000</v>
      </c>
      <c r="E9" s="28">
        <v>200</v>
      </c>
      <c r="F9" s="28">
        <v>2100</v>
      </c>
      <c r="G9" s="29">
        <v>7435.2941176470586</v>
      </c>
      <c r="H9" s="10"/>
      <c r="I9" s="10"/>
      <c r="K9" s="10"/>
    </row>
    <row r="10" spans="1:11" x14ac:dyDescent="0.3">
      <c r="B10" s="17" t="s">
        <v>10</v>
      </c>
      <c r="C10" s="27">
        <v>10000</v>
      </c>
      <c r="D10" s="28">
        <v>3000</v>
      </c>
      <c r="E10" s="28">
        <v>500</v>
      </c>
      <c r="F10" s="28">
        <v>2549.9999999999964</v>
      </c>
      <c r="G10" s="29">
        <v>12182.352941176472</v>
      </c>
      <c r="H10" s="10"/>
      <c r="I10" s="10"/>
      <c r="K10" s="10"/>
    </row>
    <row r="11" spans="1:11" x14ac:dyDescent="0.3">
      <c r="B11" s="17" t="s">
        <v>11</v>
      </c>
      <c r="C11" s="27">
        <v>12000</v>
      </c>
      <c r="D11" s="28">
        <v>6000</v>
      </c>
      <c r="E11" s="28">
        <v>2000</v>
      </c>
      <c r="F11" s="28">
        <v>1200</v>
      </c>
      <c r="G11" s="29">
        <v>10494.117647058829</v>
      </c>
      <c r="H11" s="10"/>
      <c r="I11" s="10"/>
      <c r="K11" s="10"/>
    </row>
    <row r="12" spans="1:11" x14ac:dyDescent="0.3">
      <c r="B12" s="17" t="s">
        <v>12</v>
      </c>
      <c r="C12" s="27">
        <v>12000</v>
      </c>
      <c r="D12" s="28">
        <v>8000</v>
      </c>
      <c r="E12" s="28">
        <v>500</v>
      </c>
      <c r="F12" s="28">
        <v>2250</v>
      </c>
      <c r="G12" s="29">
        <v>7611.7647058823568</v>
      </c>
      <c r="H12" s="10"/>
      <c r="I12" s="10"/>
      <c r="K12" s="10"/>
    </row>
    <row r="13" spans="1:11" x14ac:dyDescent="0.3">
      <c r="B13" s="17" t="s">
        <v>13</v>
      </c>
      <c r="C13" s="27">
        <v>800</v>
      </c>
      <c r="D13" s="28">
        <v>400</v>
      </c>
      <c r="E13" s="28">
        <v>4000</v>
      </c>
      <c r="F13" s="28">
        <v>-1.7763568394002505E-15</v>
      </c>
      <c r="G13" s="29">
        <v>9.4117647058824616</v>
      </c>
      <c r="H13" s="10"/>
      <c r="I13" s="10"/>
      <c r="K13" s="10"/>
    </row>
    <row r="14" spans="1:11" x14ac:dyDescent="0.3">
      <c r="B14" s="18" t="s">
        <v>14</v>
      </c>
      <c r="C14" s="30">
        <v>500</v>
      </c>
      <c r="D14" s="31">
        <v>200</v>
      </c>
      <c r="E14" s="31">
        <v>1500</v>
      </c>
      <c r="F14" s="31">
        <v>150</v>
      </c>
      <c r="G14" s="32">
        <v>2076.4705882352941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8376500000</v>
      </c>
      <c r="D17" s="34">
        <f>SUM(D5:D14)*D18</f>
        <v>3874000000</v>
      </c>
      <c r="E17" s="34">
        <f>SUM(E5:E14)*E18</f>
        <v>872000000</v>
      </c>
      <c r="F17" s="34">
        <f>SUM(F5:F14)*F18</f>
        <v>1059749999.9999999</v>
      </c>
      <c r="G17" s="35">
        <f>SUM(G5:G14)*G18</f>
        <v>3494541176.4705892</v>
      </c>
      <c r="H17" s="36">
        <f>SUM(C17:G17)</f>
        <v>17676791176.470589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27999.999999999993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32000.000000000004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20000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22000.000000000007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19000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15000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14500.000000000004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13000.000000000004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2000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2500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22000</v>
      </c>
      <c r="D32" s="43">
        <f t="shared" si="1"/>
        <v>1999.9999999999998</v>
      </c>
      <c r="E32" s="43">
        <f t="shared" si="1"/>
        <v>500</v>
      </c>
      <c r="F32" s="43">
        <f t="shared" si="1"/>
        <v>5400</v>
      </c>
      <c r="G32" s="43">
        <f t="shared" si="1"/>
        <v>23023.529411764699</v>
      </c>
      <c r="H32" s="51">
        <f>0.4*SUM(C32:G32)</f>
        <v>21169.411764705881</v>
      </c>
      <c r="I32" s="10" t="s">
        <v>52</v>
      </c>
      <c r="J32" s="54">
        <f>F32</f>
        <v>5400</v>
      </c>
      <c r="K32" s="10"/>
    </row>
    <row r="33" spans="1:11" x14ac:dyDescent="0.3">
      <c r="B33" s="40" t="s">
        <v>6</v>
      </c>
      <c r="C33" s="44">
        <f t="shared" si="1"/>
        <v>15000</v>
      </c>
      <c r="D33" s="3">
        <f t="shared" si="1"/>
        <v>5000</v>
      </c>
      <c r="E33" s="3">
        <f t="shared" si="1"/>
        <v>1000</v>
      </c>
      <c r="F33" s="3">
        <f t="shared" si="1"/>
        <v>4800</v>
      </c>
      <c r="G33" s="3">
        <f t="shared" si="1"/>
        <v>28164.705882352944</v>
      </c>
      <c r="H33" s="52">
        <f t="shared" ref="H33:H41" si="2">0.4*SUM(C33:G33)</f>
        <v>21585.882352941178</v>
      </c>
      <c r="I33" s="10" t="s">
        <v>52</v>
      </c>
      <c r="J33" s="56">
        <f t="shared" ref="J33:J41" si="3">F33</f>
        <v>4800</v>
      </c>
      <c r="K33" s="10"/>
    </row>
    <row r="34" spans="1:11" x14ac:dyDescent="0.3">
      <c r="B34" s="40" t="s">
        <v>7</v>
      </c>
      <c r="C34" s="44">
        <f t="shared" si="1"/>
        <v>10000</v>
      </c>
      <c r="D34" s="3">
        <f t="shared" si="1"/>
        <v>12000</v>
      </c>
      <c r="E34" s="3">
        <f t="shared" si="1"/>
        <v>500</v>
      </c>
      <c r="F34" s="3">
        <f t="shared" si="1"/>
        <v>2400</v>
      </c>
      <c r="G34" s="3">
        <f t="shared" si="1"/>
        <v>14905.882352941178</v>
      </c>
      <c r="H34" s="52">
        <f t="shared" si="2"/>
        <v>15922.35294117647</v>
      </c>
      <c r="I34" s="10" t="s">
        <v>52</v>
      </c>
      <c r="J34" s="56">
        <f t="shared" si="3"/>
        <v>2400</v>
      </c>
      <c r="K34" s="10"/>
    </row>
    <row r="35" spans="1:11" x14ac:dyDescent="0.3">
      <c r="B35" s="40" t="s">
        <v>8</v>
      </c>
      <c r="C35" s="44">
        <f t="shared" si="1"/>
        <v>30000</v>
      </c>
      <c r="D35" s="3">
        <f t="shared" si="1"/>
        <v>15000</v>
      </c>
      <c r="E35" s="3">
        <f t="shared" si="1"/>
        <v>199.99999999999997</v>
      </c>
      <c r="F35" s="3">
        <f t="shared" si="1"/>
        <v>2700</v>
      </c>
      <c r="G35" s="3">
        <f t="shared" si="1"/>
        <v>10581.176470588243</v>
      </c>
      <c r="H35" s="52">
        <f t="shared" si="2"/>
        <v>23392.470588235301</v>
      </c>
      <c r="I35" s="10" t="s">
        <v>52</v>
      </c>
      <c r="J35" s="56">
        <f t="shared" si="3"/>
        <v>2700</v>
      </c>
      <c r="K35" s="10"/>
    </row>
    <row r="36" spans="1:11" x14ac:dyDescent="0.3">
      <c r="B36" s="40" t="s">
        <v>9</v>
      </c>
      <c r="C36" s="44">
        <f t="shared" si="1"/>
        <v>40000</v>
      </c>
      <c r="D36" s="3">
        <f t="shared" si="1"/>
        <v>8000</v>
      </c>
      <c r="E36" s="3">
        <f t="shared" si="1"/>
        <v>200</v>
      </c>
      <c r="F36" s="3">
        <f t="shared" si="1"/>
        <v>2100</v>
      </c>
      <c r="G36" s="3">
        <f t="shared" si="1"/>
        <v>7435.2941176470586</v>
      </c>
      <c r="H36" s="52">
        <f t="shared" si="2"/>
        <v>23094.117647058825</v>
      </c>
      <c r="I36" s="10" t="s">
        <v>52</v>
      </c>
      <c r="J36" s="56">
        <f t="shared" si="3"/>
        <v>2100</v>
      </c>
      <c r="K36" s="10"/>
    </row>
    <row r="37" spans="1:11" x14ac:dyDescent="0.3">
      <c r="B37" s="40" t="s">
        <v>10</v>
      </c>
      <c r="C37" s="44">
        <f t="shared" si="1"/>
        <v>10000</v>
      </c>
      <c r="D37" s="3">
        <f t="shared" si="1"/>
        <v>3000</v>
      </c>
      <c r="E37" s="3">
        <f t="shared" si="1"/>
        <v>500</v>
      </c>
      <c r="F37" s="3">
        <f t="shared" si="1"/>
        <v>2549.9999999999964</v>
      </c>
      <c r="G37" s="3">
        <f t="shared" si="1"/>
        <v>12182.352941176472</v>
      </c>
      <c r="H37" s="52">
        <f t="shared" si="2"/>
        <v>11292.941176470587</v>
      </c>
      <c r="I37" s="10" t="s">
        <v>52</v>
      </c>
      <c r="J37" s="56">
        <f t="shared" si="3"/>
        <v>2549.9999999999964</v>
      </c>
      <c r="K37" s="10"/>
    </row>
    <row r="38" spans="1:11" x14ac:dyDescent="0.3">
      <c r="B38" s="40" t="s">
        <v>11</v>
      </c>
      <c r="C38" s="44">
        <f t="shared" si="1"/>
        <v>12000</v>
      </c>
      <c r="D38" s="3">
        <f t="shared" si="1"/>
        <v>6000</v>
      </c>
      <c r="E38" s="3">
        <f t="shared" si="1"/>
        <v>2000</v>
      </c>
      <c r="F38" s="3">
        <f t="shared" si="1"/>
        <v>1200</v>
      </c>
      <c r="G38" s="3">
        <f t="shared" si="1"/>
        <v>10494.117647058829</v>
      </c>
      <c r="H38" s="52">
        <f t="shared" si="2"/>
        <v>12677.647058823532</v>
      </c>
      <c r="I38" s="10" t="s">
        <v>52</v>
      </c>
      <c r="J38" s="56">
        <f t="shared" si="3"/>
        <v>1200</v>
      </c>
      <c r="K38" s="10"/>
    </row>
    <row r="39" spans="1:11" x14ac:dyDescent="0.3">
      <c r="B39" s="40" t="s">
        <v>12</v>
      </c>
      <c r="C39" s="44">
        <f t="shared" si="1"/>
        <v>12000</v>
      </c>
      <c r="D39" s="3">
        <f t="shared" si="1"/>
        <v>8000</v>
      </c>
      <c r="E39" s="3">
        <f t="shared" si="1"/>
        <v>500</v>
      </c>
      <c r="F39" s="3">
        <f t="shared" si="1"/>
        <v>2250</v>
      </c>
      <c r="G39" s="3">
        <f t="shared" si="1"/>
        <v>7611.7647058823568</v>
      </c>
      <c r="H39" s="52">
        <f t="shared" si="2"/>
        <v>12144.705882352944</v>
      </c>
      <c r="I39" s="10" t="s">
        <v>52</v>
      </c>
      <c r="J39" s="56">
        <f t="shared" si="3"/>
        <v>2250</v>
      </c>
      <c r="K39" s="10"/>
    </row>
    <row r="40" spans="1:11" x14ac:dyDescent="0.3">
      <c r="B40" s="40" t="s">
        <v>13</v>
      </c>
      <c r="C40" s="44">
        <f t="shared" si="1"/>
        <v>800</v>
      </c>
      <c r="D40" s="3">
        <f t="shared" si="1"/>
        <v>400</v>
      </c>
      <c r="E40" s="3">
        <f t="shared" si="1"/>
        <v>4000</v>
      </c>
      <c r="F40" s="3">
        <f t="shared" si="1"/>
        <v>-1.7763568394002505E-15</v>
      </c>
      <c r="G40" s="3">
        <f t="shared" si="1"/>
        <v>9.4117647058824616</v>
      </c>
      <c r="H40" s="52">
        <f t="shared" si="2"/>
        <v>2083.7647058823532</v>
      </c>
      <c r="I40" s="10" t="s">
        <v>52</v>
      </c>
      <c r="J40" s="56">
        <f t="shared" si="3"/>
        <v>-1.7763568394002505E-15</v>
      </c>
      <c r="K40" s="10"/>
    </row>
    <row r="41" spans="1:11" x14ac:dyDescent="0.3">
      <c r="B41" s="41" t="s">
        <v>14</v>
      </c>
      <c r="C41" s="45">
        <f t="shared" si="1"/>
        <v>500</v>
      </c>
      <c r="D41" s="46">
        <f t="shared" si="1"/>
        <v>200</v>
      </c>
      <c r="E41" s="46">
        <f t="shared" si="1"/>
        <v>1500</v>
      </c>
      <c r="F41" s="46">
        <f t="shared" si="1"/>
        <v>150</v>
      </c>
      <c r="G41" s="46">
        <f t="shared" si="1"/>
        <v>2076.4705882352941</v>
      </c>
      <c r="H41" s="53">
        <f t="shared" si="2"/>
        <v>1770.5882352941176</v>
      </c>
      <c r="I41" s="10" t="s">
        <v>52</v>
      </c>
      <c r="J41" s="59">
        <f t="shared" si="3"/>
        <v>150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5400</v>
      </c>
      <c r="G43" s="10"/>
      <c r="H43" s="51">
        <f>F43</f>
        <v>5400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4800</v>
      </c>
      <c r="G44" s="10"/>
      <c r="H44" s="52">
        <f t="shared" ref="H44:H52" si="5">F44</f>
        <v>4800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2400</v>
      </c>
      <c r="G45" s="10"/>
      <c r="H45" s="52">
        <f t="shared" si="5"/>
        <v>2400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2700</v>
      </c>
      <c r="G46" s="10"/>
      <c r="H46" s="52">
        <f t="shared" si="5"/>
        <v>2700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2100</v>
      </c>
      <c r="G47" s="10"/>
      <c r="H47" s="52">
        <f t="shared" si="5"/>
        <v>2100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2549.9999999999964</v>
      </c>
      <c r="G48" s="10"/>
      <c r="H48" s="52">
        <f t="shared" si="5"/>
        <v>2549.9999999999964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1200</v>
      </c>
      <c r="G49" s="10"/>
      <c r="H49" s="52">
        <f t="shared" si="5"/>
        <v>1200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2250</v>
      </c>
      <c r="G50" s="10"/>
      <c r="H50" s="52">
        <f t="shared" si="5"/>
        <v>2250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-1.7763568394002505E-15</v>
      </c>
      <c r="G51" s="10"/>
      <c r="H51" s="52">
        <f t="shared" si="5"/>
        <v>-1.7763568394002505E-15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150</v>
      </c>
      <c r="G52" s="10"/>
      <c r="H52" s="53">
        <f t="shared" si="5"/>
        <v>150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50</v>
      </c>
      <c r="F54" s="20">
        <f t="shared" ref="F54:G63" si="7">F5</f>
        <v>5400</v>
      </c>
      <c r="G54" s="20">
        <f t="shared" si="7"/>
        <v>23023.529411764699</v>
      </c>
      <c r="H54" s="51">
        <f>SUM(E54:G54)</f>
        <v>28473.529411764699</v>
      </c>
      <c r="I54" s="10" t="s">
        <v>52</v>
      </c>
      <c r="J54" s="51">
        <f>0.25*J21</f>
        <v>7000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150</v>
      </c>
      <c r="F55" s="10">
        <f t="shared" si="7"/>
        <v>4800</v>
      </c>
      <c r="G55" s="10">
        <f t="shared" si="7"/>
        <v>28164.705882352944</v>
      </c>
      <c r="H55" s="52">
        <f t="shared" ref="H55:H63" si="8">SUM(E55:G55)</f>
        <v>33114.705882352944</v>
      </c>
      <c r="I55" s="10" t="s">
        <v>52</v>
      </c>
      <c r="J55" s="52">
        <f t="shared" ref="J55:J63" si="9">0.25*J22</f>
        <v>8000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50</v>
      </c>
      <c r="F56" s="10">
        <f t="shared" si="7"/>
        <v>2400</v>
      </c>
      <c r="G56" s="10">
        <f t="shared" si="7"/>
        <v>14905.882352941178</v>
      </c>
      <c r="H56" s="52">
        <f t="shared" si="8"/>
        <v>17355.882352941178</v>
      </c>
      <c r="I56" s="10" t="s">
        <v>52</v>
      </c>
      <c r="J56" s="52">
        <f t="shared" si="9"/>
        <v>5000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15.999999999999998</v>
      </c>
      <c r="F57" s="10">
        <f t="shared" si="7"/>
        <v>2700</v>
      </c>
      <c r="G57" s="10">
        <f t="shared" si="7"/>
        <v>10581.176470588243</v>
      </c>
      <c r="H57" s="52">
        <f t="shared" si="8"/>
        <v>13297.176470588243</v>
      </c>
      <c r="I57" s="10" t="s">
        <v>52</v>
      </c>
      <c r="J57" s="52">
        <f t="shared" si="9"/>
        <v>5500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10</v>
      </c>
      <c r="F58" s="10">
        <f t="shared" si="7"/>
        <v>2100</v>
      </c>
      <c r="G58" s="10">
        <f t="shared" si="7"/>
        <v>7435.2941176470586</v>
      </c>
      <c r="H58" s="52">
        <f t="shared" si="8"/>
        <v>9545.2941176470595</v>
      </c>
      <c r="I58" s="10" t="s">
        <v>52</v>
      </c>
      <c r="J58" s="52">
        <f t="shared" si="9"/>
        <v>4750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60</v>
      </c>
      <c r="F59" s="10">
        <f t="shared" si="7"/>
        <v>2549.9999999999964</v>
      </c>
      <c r="G59" s="10">
        <f t="shared" si="7"/>
        <v>12182.352941176472</v>
      </c>
      <c r="H59" s="52">
        <f t="shared" si="8"/>
        <v>14792.352941176468</v>
      </c>
      <c r="I59" s="10" t="s">
        <v>52</v>
      </c>
      <c r="J59" s="52">
        <f t="shared" si="9"/>
        <v>3750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600</v>
      </c>
      <c r="F60" s="10">
        <f t="shared" si="7"/>
        <v>1200</v>
      </c>
      <c r="G60" s="10">
        <f t="shared" si="7"/>
        <v>10494.117647058829</v>
      </c>
      <c r="H60" s="52">
        <f t="shared" si="8"/>
        <v>12294.117647058829</v>
      </c>
      <c r="I60" s="10" t="s">
        <v>52</v>
      </c>
      <c r="J60" s="52">
        <f t="shared" si="9"/>
        <v>3625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75</v>
      </c>
      <c r="F61" s="10">
        <f t="shared" si="7"/>
        <v>2250</v>
      </c>
      <c r="G61" s="10">
        <f t="shared" si="7"/>
        <v>7611.7647058823568</v>
      </c>
      <c r="H61" s="52">
        <f t="shared" si="8"/>
        <v>9936.7647058823568</v>
      </c>
      <c r="I61" s="10" t="s">
        <v>52</v>
      </c>
      <c r="J61" s="52">
        <f t="shared" si="9"/>
        <v>3250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1800</v>
      </c>
      <c r="F62" s="10">
        <f t="shared" si="7"/>
        <v>-1.7763568394002505E-15</v>
      </c>
      <c r="G62" s="10">
        <f t="shared" si="7"/>
        <v>9.4117647058824616</v>
      </c>
      <c r="H62" s="52">
        <f t="shared" si="8"/>
        <v>1809.4117647058824</v>
      </c>
      <c r="I62" s="10" t="s">
        <v>52</v>
      </c>
      <c r="J62" s="52">
        <f t="shared" si="9"/>
        <v>500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525</v>
      </c>
      <c r="F63" s="23">
        <f t="shared" si="7"/>
        <v>150</v>
      </c>
      <c r="G63" s="23">
        <f t="shared" si="7"/>
        <v>2076.4705882352941</v>
      </c>
      <c r="H63" s="53">
        <f t="shared" si="8"/>
        <v>2751.4705882352941</v>
      </c>
      <c r="I63" s="10" t="s">
        <v>52</v>
      </c>
      <c r="J63" s="53">
        <f t="shared" si="9"/>
        <v>625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22000</v>
      </c>
      <c r="D66" s="10"/>
      <c r="E66" s="10"/>
      <c r="F66" s="10"/>
      <c r="G66" s="10"/>
      <c r="H66" s="51">
        <f>C66</f>
        <v>22000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15000</v>
      </c>
      <c r="D67" s="10"/>
      <c r="E67" s="10"/>
      <c r="F67" s="10"/>
      <c r="G67" s="10"/>
      <c r="H67" s="52">
        <f t="shared" ref="H67:H75" si="11">C67</f>
        <v>15000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10000</v>
      </c>
      <c r="D68" s="10"/>
      <c r="E68" s="10"/>
      <c r="F68" s="10"/>
      <c r="G68" s="10"/>
      <c r="H68" s="52">
        <f t="shared" si="11"/>
        <v>10000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30000</v>
      </c>
      <c r="D69" s="10"/>
      <c r="E69" s="10"/>
      <c r="F69" s="10"/>
      <c r="G69" s="10"/>
      <c r="H69" s="52">
        <f t="shared" si="11"/>
        <v>30000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40000</v>
      </c>
      <c r="D70" s="10"/>
      <c r="E70" s="10"/>
      <c r="F70" s="10"/>
      <c r="G70" s="10"/>
      <c r="H70" s="52">
        <f t="shared" si="11"/>
        <v>40000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10000</v>
      </c>
      <c r="D71" s="10"/>
      <c r="E71" s="10"/>
      <c r="F71" s="10"/>
      <c r="G71" s="10"/>
      <c r="H71" s="52">
        <f t="shared" si="11"/>
        <v>10000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12000</v>
      </c>
      <c r="D72" s="10"/>
      <c r="E72" s="10"/>
      <c r="F72" s="10"/>
      <c r="G72" s="10"/>
      <c r="H72" s="52">
        <f t="shared" si="11"/>
        <v>12000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12000</v>
      </c>
      <c r="D73" s="10"/>
      <c r="E73" s="10"/>
      <c r="F73" s="10"/>
      <c r="G73" s="10"/>
      <c r="H73" s="52">
        <f t="shared" si="11"/>
        <v>12000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800</v>
      </c>
      <c r="D74" s="10"/>
      <c r="E74" s="10"/>
      <c r="F74" s="10"/>
      <c r="G74" s="10"/>
      <c r="H74" s="52">
        <f t="shared" si="11"/>
        <v>800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500</v>
      </c>
      <c r="D75" s="10"/>
      <c r="E75" s="10"/>
      <c r="F75" s="10"/>
      <c r="G75" s="10"/>
      <c r="H75" s="53">
        <f t="shared" si="11"/>
        <v>500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1999.9999999999998</v>
      </c>
      <c r="E77" s="10"/>
      <c r="F77" s="10"/>
      <c r="G77" s="10"/>
      <c r="H77" s="51">
        <f>D77</f>
        <v>1999.9999999999998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5000</v>
      </c>
      <c r="E78" s="10"/>
      <c r="F78" s="10"/>
      <c r="G78" s="10"/>
      <c r="H78" s="52">
        <f t="shared" ref="H78:H86" si="13">D78</f>
        <v>5000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12000</v>
      </c>
      <c r="E79" s="10"/>
      <c r="F79" s="10"/>
      <c r="G79" s="10"/>
      <c r="H79" s="52">
        <f t="shared" si="13"/>
        <v>12000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15000</v>
      </c>
      <c r="E80" s="10"/>
      <c r="F80" s="10"/>
      <c r="G80" s="10"/>
      <c r="H80" s="52">
        <f t="shared" si="13"/>
        <v>15000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8000</v>
      </c>
      <c r="E81" s="10"/>
      <c r="F81" s="10"/>
      <c r="G81" s="10"/>
      <c r="H81" s="52">
        <f t="shared" si="13"/>
        <v>8000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3000</v>
      </c>
      <c r="E82" s="10"/>
      <c r="F82" s="10"/>
      <c r="G82" s="10"/>
      <c r="H82" s="52">
        <f t="shared" si="13"/>
        <v>3000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6000</v>
      </c>
      <c r="E83" s="10"/>
      <c r="F83" s="10"/>
      <c r="G83" s="10"/>
      <c r="H83" s="52">
        <f t="shared" si="13"/>
        <v>6000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8000</v>
      </c>
      <c r="E84" s="10"/>
      <c r="F84" s="10"/>
      <c r="G84" s="10"/>
      <c r="H84" s="52">
        <f t="shared" si="13"/>
        <v>8000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400</v>
      </c>
      <c r="E85" s="10"/>
      <c r="F85" s="10"/>
      <c r="G85" s="10"/>
      <c r="H85" s="52">
        <f t="shared" si="13"/>
        <v>400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200</v>
      </c>
      <c r="E86" s="10"/>
      <c r="F86" s="10"/>
      <c r="G86" s="10"/>
      <c r="H86" s="53">
        <f t="shared" si="13"/>
        <v>200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500</v>
      </c>
      <c r="F88" s="10"/>
      <c r="G88" s="10"/>
      <c r="H88" s="51">
        <f>E88</f>
        <v>500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1000</v>
      </c>
      <c r="F89" s="10"/>
      <c r="G89" s="10"/>
      <c r="H89" s="52">
        <f t="shared" ref="H89:H97" si="15">E89</f>
        <v>1000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500</v>
      </c>
      <c r="F90" s="10"/>
      <c r="G90" s="10"/>
      <c r="H90" s="52">
        <f t="shared" si="15"/>
        <v>500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199.99999999999997</v>
      </c>
      <c r="F91" s="10"/>
      <c r="G91" s="10"/>
      <c r="H91" s="52">
        <f t="shared" si="15"/>
        <v>199.99999999999997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200</v>
      </c>
      <c r="F92" s="10"/>
      <c r="G92" s="10"/>
      <c r="H92" s="52">
        <f t="shared" si="15"/>
        <v>200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500</v>
      </c>
      <c r="F93" s="10"/>
      <c r="G93" s="10"/>
      <c r="H93" s="52">
        <f t="shared" si="15"/>
        <v>500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2000</v>
      </c>
      <c r="F94" s="10"/>
      <c r="G94" s="10"/>
      <c r="H94" s="52">
        <f t="shared" si="15"/>
        <v>2000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500</v>
      </c>
      <c r="F95" s="10"/>
      <c r="G95" s="10"/>
      <c r="H95" s="52">
        <f t="shared" si="15"/>
        <v>500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4000</v>
      </c>
      <c r="F96" s="10"/>
      <c r="G96" s="10"/>
      <c r="H96" s="52">
        <f t="shared" si="15"/>
        <v>4000</v>
      </c>
      <c r="I96" s="10" t="s">
        <v>52</v>
      </c>
      <c r="J96" s="55">
        <v>4000</v>
      </c>
      <c r="K96" s="10"/>
    </row>
    <row r="97" spans="2:11" x14ac:dyDescent="0.3">
      <c r="B97" s="18" t="s">
        <v>14</v>
      </c>
      <c r="C97" s="10"/>
      <c r="D97" s="10"/>
      <c r="E97" s="49">
        <f t="shared" si="14"/>
        <v>1500</v>
      </c>
      <c r="F97" s="10"/>
      <c r="G97" s="10"/>
      <c r="H97" s="53">
        <f t="shared" si="15"/>
        <v>1500</v>
      </c>
      <c r="I97" s="10" t="s">
        <v>52</v>
      </c>
      <c r="J97" s="57">
        <v>1500</v>
      </c>
      <c r="K97" s="10"/>
    </row>
    <row r="98" spans="2:11" x14ac:dyDescent="0.3">
      <c r="C98" s="10"/>
      <c r="D98" s="10"/>
      <c r="E98" s="10"/>
      <c r="F98" s="10"/>
      <c r="G98" s="10"/>
      <c r="H98" s="10"/>
      <c r="I98" s="10"/>
      <c r="K98" s="10"/>
    </row>
    <row r="99" spans="2:11" x14ac:dyDescent="0.3">
      <c r="H99" s="10"/>
      <c r="I99" s="10"/>
      <c r="K99" s="10"/>
    </row>
    <row r="100" spans="2:11" x14ac:dyDescent="0.3">
      <c r="C100" s="10"/>
      <c r="D100" s="10"/>
      <c r="E100" s="10"/>
      <c r="F100" s="10"/>
      <c r="G100" s="10"/>
      <c r="H100" s="10"/>
      <c r="I100" s="10"/>
      <c r="K100" s="10"/>
    </row>
    <row r="101" spans="2:11" x14ac:dyDescent="0.3">
      <c r="C101" s="10"/>
      <c r="D101" s="10"/>
      <c r="E101" s="10"/>
      <c r="F101" s="10"/>
      <c r="G101" s="10"/>
      <c r="H101" s="10"/>
      <c r="I101" s="10"/>
      <c r="K101" s="10"/>
    </row>
    <row r="102" spans="2:11" x14ac:dyDescent="0.3">
      <c r="C102" s="10"/>
      <c r="D102" s="10"/>
      <c r="E102" s="10"/>
      <c r="F102" s="10"/>
      <c r="G102" s="10"/>
      <c r="H102" s="10"/>
      <c r="I102" s="10"/>
      <c r="K102" s="10"/>
    </row>
    <row r="103" spans="2:11" x14ac:dyDescent="0.3">
      <c r="C103" s="10"/>
      <c r="D103" s="10"/>
      <c r="E103" s="10"/>
      <c r="F103" s="10"/>
      <c r="G103" s="10"/>
      <c r="H103" s="10"/>
      <c r="I103" s="10"/>
      <c r="K103" s="10"/>
    </row>
    <row r="104" spans="2:11" x14ac:dyDescent="0.3">
      <c r="C104" s="10"/>
      <c r="D104" s="10"/>
      <c r="E104" s="10"/>
      <c r="F104" s="10"/>
      <c r="G104" s="10"/>
      <c r="H104" s="10"/>
      <c r="I104" s="10"/>
      <c r="K104" s="10"/>
    </row>
    <row r="105" spans="2:11" x14ac:dyDescent="0.3">
      <c r="C105" s="10"/>
      <c r="D105" s="10"/>
      <c r="E105" s="10"/>
      <c r="F105" s="10"/>
      <c r="G105" s="10"/>
      <c r="H105" s="10"/>
      <c r="I105" s="10"/>
      <c r="K105" s="10"/>
    </row>
    <row r="106" spans="2:11" x14ac:dyDescent="0.3">
      <c r="C106" s="10"/>
      <c r="D106" s="10"/>
      <c r="E106" s="10"/>
      <c r="F106" s="10"/>
      <c r="G106" s="10"/>
      <c r="H106" s="10"/>
      <c r="I106" s="10"/>
      <c r="K106" s="10"/>
    </row>
    <row r="107" spans="2:11" x14ac:dyDescent="0.3">
      <c r="C107" s="10"/>
      <c r="D107" s="10"/>
      <c r="E107" s="10"/>
      <c r="F107" s="10"/>
      <c r="G107" s="10"/>
      <c r="H107" s="10"/>
      <c r="I107" s="10"/>
      <c r="K107" s="10"/>
    </row>
    <row r="108" spans="2:11" x14ac:dyDescent="0.3">
      <c r="C108" s="10"/>
      <c r="D108" s="10"/>
      <c r="E108" s="10"/>
      <c r="F108" s="10"/>
      <c r="G108" s="10"/>
      <c r="H108" s="10"/>
      <c r="I108" s="10"/>
      <c r="K108" s="10"/>
    </row>
    <row r="109" spans="2:11" x14ac:dyDescent="0.3">
      <c r="C109" s="10"/>
      <c r="D109" s="10"/>
      <c r="E109" s="10"/>
      <c r="F109" s="10"/>
      <c r="G109" s="10"/>
      <c r="H109" s="10"/>
      <c r="I109" s="10"/>
      <c r="K109" s="10"/>
    </row>
    <row r="110" spans="2:11" x14ac:dyDescent="0.3">
      <c r="C110" s="10"/>
      <c r="D110" s="10"/>
      <c r="E110" s="10"/>
      <c r="F110" s="10"/>
      <c r="G110" s="10"/>
      <c r="H110" s="10"/>
      <c r="I110" s="10"/>
      <c r="K110" s="10"/>
    </row>
    <row r="111" spans="2:11" x14ac:dyDescent="0.3">
      <c r="C111" s="10"/>
      <c r="D111" s="10"/>
      <c r="E111" s="10"/>
      <c r="F111" s="10"/>
      <c r="G111" s="10"/>
      <c r="H111" s="10"/>
      <c r="I111" s="10"/>
      <c r="K111" s="10"/>
    </row>
    <row r="112" spans="2:11" x14ac:dyDescent="0.3">
      <c r="C112" s="10"/>
      <c r="D112" s="10"/>
      <c r="E112" s="10"/>
      <c r="F112" s="10"/>
      <c r="G112" s="10"/>
      <c r="H112" s="10"/>
      <c r="I112" s="10"/>
      <c r="K112" s="10"/>
    </row>
    <row r="113" spans="3:11" x14ac:dyDescent="0.3">
      <c r="C113" s="10"/>
      <c r="D113" s="10"/>
      <c r="E113" s="10"/>
      <c r="F113" s="10"/>
      <c r="G113" s="10"/>
      <c r="H113" s="10"/>
      <c r="I113" s="10"/>
      <c r="K113" s="10"/>
    </row>
    <row r="114" spans="3:11" x14ac:dyDescent="0.3">
      <c r="C114" s="10"/>
      <c r="D114" s="10"/>
      <c r="E114" s="10"/>
      <c r="F114" s="10"/>
      <c r="G114" s="10"/>
      <c r="H114" s="10"/>
      <c r="I114" s="10"/>
      <c r="K114" s="10"/>
    </row>
    <row r="115" spans="3:11" x14ac:dyDescent="0.3">
      <c r="C115" s="10"/>
      <c r="D115" s="10"/>
      <c r="E115" s="10"/>
      <c r="F115" s="10"/>
      <c r="G115" s="10"/>
      <c r="H115" s="10"/>
      <c r="I115" s="10"/>
      <c r="K115" s="10"/>
    </row>
    <row r="116" spans="3:11" x14ac:dyDescent="0.3">
      <c r="C116" s="10"/>
      <c r="D116" s="10"/>
      <c r="E116" s="10"/>
      <c r="F116" s="10"/>
      <c r="G116" s="10"/>
      <c r="H116" s="10"/>
      <c r="I116" s="10"/>
      <c r="K116" s="10"/>
    </row>
    <row r="117" spans="3:11" x14ac:dyDescent="0.3">
      <c r="C117" s="10"/>
      <c r="D117" s="10"/>
      <c r="E117" s="10"/>
      <c r="F117" s="10"/>
      <c r="G117" s="10"/>
      <c r="H117" s="10"/>
      <c r="I117" s="10"/>
      <c r="K117" s="10"/>
    </row>
    <row r="118" spans="3:11" x14ac:dyDescent="0.3">
      <c r="C118" s="10"/>
      <c r="D118" s="10"/>
      <c r="E118" s="10"/>
      <c r="F118" s="10"/>
      <c r="G118" s="10"/>
      <c r="H118" s="10"/>
      <c r="I118" s="10"/>
      <c r="K118" s="10"/>
    </row>
    <row r="119" spans="3:11" x14ac:dyDescent="0.3">
      <c r="C119" s="10"/>
      <c r="D119" s="10"/>
      <c r="E119" s="10"/>
      <c r="F119" s="10"/>
      <c r="G119" s="10"/>
      <c r="H119" s="10"/>
      <c r="I119" s="10"/>
      <c r="K119" s="10"/>
    </row>
    <row r="120" spans="3:11" x14ac:dyDescent="0.3">
      <c r="C120" s="10"/>
      <c r="D120" s="10"/>
      <c r="E120" s="10"/>
      <c r="F120" s="10"/>
      <c r="G120" s="10"/>
      <c r="H120" s="10"/>
      <c r="I120" s="10"/>
      <c r="K120" s="10"/>
    </row>
    <row r="121" spans="3:11" x14ac:dyDescent="0.3">
      <c r="C121" s="10"/>
      <c r="D121" s="10"/>
      <c r="E121" s="10"/>
      <c r="F121" s="10"/>
      <c r="G121" s="10"/>
      <c r="H121" s="10"/>
      <c r="I121" s="10"/>
      <c r="K121" s="10"/>
    </row>
    <row r="122" spans="3:11" x14ac:dyDescent="0.3">
      <c r="C122" s="10"/>
      <c r="D122" s="10"/>
      <c r="E122" s="10"/>
      <c r="F122" s="10"/>
      <c r="G122" s="10"/>
      <c r="H122" s="10"/>
      <c r="I122" s="10"/>
      <c r="K122" s="10"/>
    </row>
    <row r="123" spans="3:11" x14ac:dyDescent="0.3">
      <c r="C123" s="10"/>
      <c r="D123" s="10"/>
      <c r="E123" s="10"/>
      <c r="F123" s="10"/>
      <c r="G123" s="10"/>
      <c r="H123" s="10"/>
      <c r="I123" s="10"/>
      <c r="K123" s="10"/>
    </row>
    <row r="124" spans="3:11" x14ac:dyDescent="0.3">
      <c r="C124" s="10"/>
      <c r="D124" s="10"/>
      <c r="E124" s="10"/>
      <c r="F124" s="10"/>
      <c r="G124" s="10"/>
      <c r="H124" s="10"/>
      <c r="I124" s="10"/>
      <c r="K124" s="10"/>
    </row>
    <row r="125" spans="3:11" x14ac:dyDescent="0.3">
      <c r="C125" s="10"/>
      <c r="D125" s="10"/>
      <c r="E125" s="10"/>
      <c r="F125" s="10"/>
      <c r="G125" s="10"/>
      <c r="H125" s="10"/>
      <c r="I125" s="10"/>
      <c r="K125" s="10"/>
    </row>
  </sheetData>
  <mergeCells count="1">
    <mergeCell ref="A1:B1"/>
  </mergeCells>
  <pageMargins left="0.25" right="0.25" top="0.75" bottom="0.75" header="0.3" footer="0.3"/>
  <pageSetup paperSize="66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F662-4B88-41C6-90DB-24270239D30A}">
  <dimension ref="A1:K125"/>
  <sheetViews>
    <sheetView workbookViewId="0">
      <selection activeCell="M29" sqref="M29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3" t="s">
        <v>16</v>
      </c>
      <c r="D4" s="14" t="s">
        <v>17</v>
      </c>
      <c r="E4" s="14" t="s">
        <v>18</v>
      </c>
      <c r="F4" s="14" t="s">
        <v>19</v>
      </c>
      <c r="G4" s="15" t="s">
        <v>20</v>
      </c>
      <c r="H4" s="10"/>
      <c r="I4" s="10"/>
      <c r="K4" s="10"/>
    </row>
    <row r="5" spans="1:11" x14ac:dyDescent="0.3">
      <c r="B5" s="16" t="s">
        <v>5</v>
      </c>
      <c r="C5" s="24">
        <v>0</v>
      </c>
      <c r="D5" s="25">
        <v>0</v>
      </c>
      <c r="E5" s="25">
        <v>0</v>
      </c>
      <c r="F5" s="25">
        <v>5400</v>
      </c>
      <c r="G5" s="26">
        <v>28494.117647058825</v>
      </c>
      <c r="H5" s="10"/>
      <c r="I5" s="10"/>
      <c r="K5" s="10"/>
    </row>
    <row r="6" spans="1:11" x14ac:dyDescent="0.3">
      <c r="B6" s="17" t="s">
        <v>6</v>
      </c>
      <c r="C6" s="27">
        <v>0</v>
      </c>
      <c r="D6" s="28">
        <v>0</v>
      </c>
      <c r="E6" s="28">
        <v>0</v>
      </c>
      <c r="F6" s="28">
        <v>4800</v>
      </c>
      <c r="G6" s="29">
        <v>33694.117647058825</v>
      </c>
      <c r="H6" s="10"/>
      <c r="I6" s="10"/>
      <c r="K6" s="10"/>
    </row>
    <row r="7" spans="1:11" x14ac:dyDescent="0.3">
      <c r="B7" s="17" t="s">
        <v>7</v>
      </c>
      <c r="C7" s="27">
        <v>0</v>
      </c>
      <c r="D7" s="28">
        <v>0</v>
      </c>
      <c r="E7" s="28">
        <v>0</v>
      </c>
      <c r="F7" s="28">
        <v>2400</v>
      </c>
      <c r="G7" s="29">
        <v>21552.941176470591</v>
      </c>
      <c r="H7" s="10"/>
      <c r="I7" s="10"/>
      <c r="K7" s="10"/>
    </row>
    <row r="8" spans="1:11" x14ac:dyDescent="0.3">
      <c r="B8" s="17" t="s">
        <v>8</v>
      </c>
      <c r="C8" s="27">
        <v>0</v>
      </c>
      <c r="D8" s="28">
        <v>0</v>
      </c>
      <c r="E8" s="28">
        <v>0</v>
      </c>
      <c r="F8" s="28">
        <v>2700</v>
      </c>
      <c r="G8" s="29">
        <v>23658.823529411766</v>
      </c>
      <c r="H8" s="10"/>
      <c r="I8" s="10"/>
      <c r="K8" s="10"/>
    </row>
    <row r="9" spans="1:11" x14ac:dyDescent="0.3">
      <c r="B9" s="17" t="s">
        <v>9</v>
      </c>
      <c r="C9" s="27">
        <v>0</v>
      </c>
      <c r="D9" s="28">
        <v>0</v>
      </c>
      <c r="E9" s="28">
        <v>0</v>
      </c>
      <c r="F9" s="28">
        <v>2100</v>
      </c>
      <c r="G9" s="29">
        <v>20623.529411764706</v>
      </c>
      <c r="H9" s="10"/>
      <c r="I9" s="10"/>
      <c r="K9" s="10"/>
    </row>
    <row r="10" spans="1:11" x14ac:dyDescent="0.3">
      <c r="B10" s="17" t="s">
        <v>10</v>
      </c>
      <c r="C10" s="27">
        <v>0</v>
      </c>
      <c r="D10" s="28">
        <v>0</v>
      </c>
      <c r="E10" s="28">
        <v>0</v>
      </c>
      <c r="F10" s="28">
        <v>2550</v>
      </c>
      <c r="G10" s="29">
        <v>15547.058823529413</v>
      </c>
      <c r="H10" s="10"/>
      <c r="I10" s="10"/>
      <c r="K10" s="10"/>
    </row>
    <row r="11" spans="1:11" x14ac:dyDescent="0.3">
      <c r="B11" s="17" t="s">
        <v>11</v>
      </c>
      <c r="C11" s="27">
        <v>0</v>
      </c>
      <c r="D11" s="28">
        <v>0</v>
      </c>
      <c r="E11" s="28">
        <v>0</v>
      </c>
      <c r="F11" s="28">
        <v>1200</v>
      </c>
      <c r="G11" s="29">
        <v>16070.588235294121</v>
      </c>
      <c r="H11" s="10"/>
      <c r="I11" s="10"/>
      <c r="K11" s="10"/>
    </row>
    <row r="12" spans="1:11" x14ac:dyDescent="0.3">
      <c r="B12" s="17" t="s">
        <v>12</v>
      </c>
      <c r="C12" s="27">
        <v>0</v>
      </c>
      <c r="D12" s="28">
        <v>0</v>
      </c>
      <c r="E12" s="28">
        <v>0</v>
      </c>
      <c r="F12" s="28">
        <v>2250</v>
      </c>
      <c r="G12" s="29">
        <v>13441.176470588238</v>
      </c>
      <c r="H12" s="10"/>
      <c r="I12" s="10"/>
      <c r="K12" s="10"/>
    </row>
    <row r="13" spans="1:11" x14ac:dyDescent="0.3">
      <c r="B13" s="17" t="s">
        <v>13</v>
      </c>
      <c r="C13" s="27">
        <v>0</v>
      </c>
      <c r="D13" s="28">
        <v>0</v>
      </c>
      <c r="E13" s="28">
        <v>0</v>
      </c>
      <c r="F13" s="28">
        <v>0</v>
      </c>
      <c r="G13" s="29">
        <v>2352.9411764705892</v>
      </c>
      <c r="H13" s="10"/>
      <c r="I13" s="10"/>
      <c r="K13" s="10"/>
    </row>
    <row r="14" spans="1:11" x14ac:dyDescent="0.3">
      <c r="B14" s="18" t="s">
        <v>14</v>
      </c>
      <c r="C14" s="30">
        <v>0</v>
      </c>
      <c r="D14" s="31">
        <v>0</v>
      </c>
      <c r="E14" s="31">
        <v>0</v>
      </c>
      <c r="F14" s="31">
        <v>150</v>
      </c>
      <c r="G14" s="32">
        <v>2817.6470588235297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0</v>
      </c>
      <c r="D17" s="34">
        <f>SUM(D5:D14)*D18</f>
        <v>0</v>
      </c>
      <c r="E17" s="34">
        <f>SUM(E5:E14)*E18</f>
        <v>0</v>
      </c>
      <c r="F17" s="34">
        <f>SUM(F5:F14)*F18</f>
        <v>1059750000</v>
      </c>
      <c r="G17" s="35">
        <f>SUM(G5:G14)*G18</f>
        <v>5347588235.294117</v>
      </c>
      <c r="H17" s="36">
        <f>SUM(C17:G17)</f>
        <v>6407338235.294117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28000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32000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20000.000000000004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22000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19000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15000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14500.000000000002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13000.000000000002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2000.0000000000007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2500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0</v>
      </c>
      <c r="D32" s="43">
        <f t="shared" si="1"/>
        <v>0</v>
      </c>
      <c r="E32" s="43">
        <f t="shared" si="1"/>
        <v>0</v>
      </c>
      <c r="F32" s="43">
        <f t="shared" si="1"/>
        <v>5400</v>
      </c>
      <c r="G32" s="43">
        <f t="shared" si="1"/>
        <v>28494.117647058825</v>
      </c>
      <c r="H32" s="51">
        <f>0.4*SUM(C32:G32)</f>
        <v>13557.647058823532</v>
      </c>
      <c r="I32" s="10" t="s">
        <v>52</v>
      </c>
      <c r="J32" s="54">
        <f>F32</f>
        <v>5400</v>
      </c>
      <c r="K32" s="10"/>
    </row>
    <row r="33" spans="1:11" x14ac:dyDescent="0.3">
      <c r="B33" s="40" t="s">
        <v>6</v>
      </c>
      <c r="C33" s="44">
        <f t="shared" si="1"/>
        <v>0</v>
      </c>
      <c r="D33" s="3">
        <f t="shared" si="1"/>
        <v>0</v>
      </c>
      <c r="E33" s="3">
        <f t="shared" si="1"/>
        <v>0</v>
      </c>
      <c r="F33" s="3">
        <f t="shared" si="1"/>
        <v>4800</v>
      </c>
      <c r="G33" s="3">
        <f t="shared" si="1"/>
        <v>33694.117647058825</v>
      </c>
      <c r="H33" s="52">
        <f t="shared" ref="H33:H41" si="2">0.4*SUM(C33:G33)</f>
        <v>15397.647058823532</v>
      </c>
      <c r="I33" s="10" t="s">
        <v>52</v>
      </c>
      <c r="J33" s="56">
        <f t="shared" ref="J33:J41" si="3">F33</f>
        <v>4800</v>
      </c>
      <c r="K33" s="10"/>
    </row>
    <row r="34" spans="1:11" x14ac:dyDescent="0.3">
      <c r="B34" s="40" t="s">
        <v>7</v>
      </c>
      <c r="C34" s="44">
        <f t="shared" si="1"/>
        <v>0</v>
      </c>
      <c r="D34" s="3">
        <f t="shared" si="1"/>
        <v>0</v>
      </c>
      <c r="E34" s="3">
        <f t="shared" si="1"/>
        <v>0</v>
      </c>
      <c r="F34" s="3">
        <f t="shared" si="1"/>
        <v>2400</v>
      </c>
      <c r="G34" s="3">
        <f t="shared" si="1"/>
        <v>21552.941176470591</v>
      </c>
      <c r="H34" s="52">
        <f t="shared" si="2"/>
        <v>9581.176470588236</v>
      </c>
      <c r="I34" s="10" t="s">
        <v>52</v>
      </c>
      <c r="J34" s="56">
        <f t="shared" si="3"/>
        <v>2400</v>
      </c>
      <c r="K34" s="10"/>
    </row>
    <row r="35" spans="1:11" x14ac:dyDescent="0.3">
      <c r="B35" s="40" t="s">
        <v>8</v>
      </c>
      <c r="C35" s="44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2700</v>
      </c>
      <c r="G35" s="3">
        <f t="shared" si="1"/>
        <v>23658.823529411766</v>
      </c>
      <c r="H35" s="52">
        <f t="shared" si="2"/>
        <v>10543.529411764706</v>
      </c>
      <c r="I35" s="10" t="s">
        <v>52</v>
      </c>
      <c r="J35" s="56">
        <f t="shared" si="3"/>
        <v>2700</v>
      </c>
      <c r="K35" s="10"/>
    </row>
    <row r="36" spans="1:11" x14ac:dyDescent="0.3">
      <c r="B36" s="40" t="s">
        <v>9</v>
      </c>
      <c r="C36" s="44">
        <f t="shared" si="1"/>
        <v>0</v>
      </c>
      <c r="D36" s="3">
        <f t="shared" si="1"/>
        <v>0</v>
      </c>
      <c r="E36" s="3">
        <f t="shared" si="1"/>
        <v>0</v>
      </c>
      <c r="F36" s="3">
        <f t="shared" si="1"/>
        <v>2100</v>
      </c>
      <c r="G36" s="3">
        <f t="shared" si="1"/>
        <v>20623.529411764706</v>
      </c>
      <c r="H36" s="52">
        <f t="shared" si="2"/>
        <v>9089.4117647058829</v>
      </c>
      <c r="I36" s="10" t="s">
        <v>52</v>
      </c>
      <c r="J36" s="56">
        <f t="shared" si="3"/>
        <v>2100</v>
      </c>
      <c r="K36" s="10"/>
    </row>
    <row r="37" spans="1:11" x14ac:dyDescent="0.3">
      <c r="B37" s="40" t="s">
        <v>10</v>
      </c>
      <c r="C37" s="44">
        <f t="shared" si="1"/>
        <v>0</v>
      </c>
      <c r="D37" s="3">
        <f t="shared" si="1"/>
        <v>0</v>
      </c>
      <c r="E37" s="3">
        <f t="shared" si="1"/>
        <v>0</v>
      </c>
      <c r="F37" s="3">
        <f t="shared" si="1"/>
        <v>2550</v>
      </c>
      <c r="G37" s="3">
        <f t="shared" si="1"/>
        <v>15547.058823529413</v>
      </c>
      <c r="H37" s="52">
        <f t="shared" si="2"/>
        <v>7238.8235294117658</v>
      </c>
      <c r="I37" s="10" t="s">
        <v>52</v>
      </c>
      <c r="J37" s="56">
        <f t="shared" si="3"/>
        <v>2550</v>
      </c>
      <c r="K37" s="10"/>
    </row>
    <row r="38" spans="1:11" x14ac:dyDescent="0.3">
      <c r="B38" s="40" t="s">
        <v>11</v>
      </c>
      <c r="C38" s="44">
        <f t="shared" si="1"/>
        <v>0</v>
      </c>
      <c r="D38" s="3">
        <f t="shared" si="1"/>
        <v>0</v>
      </c>
      <c r="E38" s="3">
        <f t="shared" si="1"/>
        <v>0</v>
      </c>
      <c r="F38" s="3">
        <f t="shared" si="1"/>
        <v>1200</v>
      </c>
      <c r="G38" s="3">
        <f t="shared" si="1"/>
        <v>16070.588235294121</v>
      </c>
      <c r="H38" s="52">
        <f t="shared" si="2"/>
        <v>6908.2352941176478</v>
      </c>
      <c r="I38" s="10" t="s">
        <v>52</v>
      </c>
      <c r="J38" s="56">
        <f t="shared" si="3"/>
        <v>1200</v>
      </c>
      <c r="K38" s="10"/>
    </row>
    <row r="39" spans="1:11" x14ac:dyDescent="0.3">
      <c r="B39" s="40" t="s">
        <v>12</v>
      </c>
      <c r="C39" s="44">
        <f t="shared" si="1"/>
        <v>0</v>
      </c>
      <c r="D39" s="3">
        <f t="shared" si="1"/>
        <v>0</v>
      </c>
      <c r="E39" s="3">
        <f t="shared" si="1"/>
        <v>0</v>
      </c>
      <c r="F39" s="3">
        <f t="shared" si="1"/>
        <v>2250</v>
      </c>
      <c r="G39" s="3">
        <f t="shared" si="1"/>
        <v>13441.176470588238</v>
      </c>
      <c r="H39" s="52">
        <f t="shared" si="2"/>
        <v>6276.4705882352955</v>
      </c>
      <c r="I39" s="10" t="s">
        <v>52</v>
      </c>
      <c r="J39" s="56">
        <f t="shared" si="3"/>
        <v>2250</v>
      </c>
      <c r="K39" s="10"/>
    </row>
    <row r="40" spans="1:11" x14ac:dyDescent="0.3">
      <c r="B40" s="40" t="s">
        <v>13</v>
      </c>
      <c r="C40" s="44">
        <f t="shared" si="1"/>
        <v>0</v>
      </c>
      <c r="D40" s="3">
        <f t="shared" si="1"/>
        <v>0</v>
      </c>
      <c r="E40" s="3">
        <f t="shared" si="1"/>
        <v>0</v>
      </c>
      <c r="F40" s="3">
        <f t="shared" si="1"/>
        <v>0</v>
      </c>
      <c r="G40" s="3">
        <f t="shared" si="1"/>
        <v>2352.9411764705892</v>
      </c>
      <c r="H40" s="52">
        <f t="shared" si="2"/>
        <v>941.1764705882357</v>
      </c>
      <c r="I40" s="10" t="s">
        <v>52</v>
      </c>
      <c r="J40" s="56">
        <f t="shared" si="3"/>
        <v>0</v>
      </c>
      <c r="K40" s="10"/>
    </row>
    <row r="41" spans="1:11" x14ac:dyDescent="0.3">
      <c r="B41" s="41" t="s">
        <v>14</v>
      </c>
      <c r="C41" s="45">
        <f t="shared" si="1"/>
        <v>0</v>
      </c>
      <c r="D41" s="46">
        <f t="shared" si="1"/>
        <v>0</v>
      </c>
      <c r="E41" s="46">
        <f t="shared" si="1"/>
        <v>0</v>
      </c>
      <c r="F41" s="46">
        <f t="shared" si="1"/>
        <v>150</v>
      </c>
      <c r="G41" s="46">
        <f t="shared" si="1"/>
        <v>2817.6470588235297</v>
      </c>
      <c r="H41" s="53">
        <f t="shared" si="2"/>
        <v>1187.0588235294119</v>
      </c>
      <c r="I41" s="10" t="s">
        <v>52</v>
      </c>
      <c r="J41" s="59">
        <f t="shared" si="3"/>
        <v>150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5400</v>
      </c>
      <c r="G43" s="10"/>
      <c r="H43" s="51">
        <f>F43</f>
        <v>5400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4800</v>
      </c>
      <c r="G44" s="10"/>
      <c r="H44" s="52">
        <f t="shared" ref="H44:H52" si="5">F44</f>
        <v>4800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2400</v>
      </c>
      <c r="G45" s="10"/>
      <c r="H45" s="52">
        <f t="shared" si="5"/>
        <v>2400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2700</v>
      </c>
      <c r="G46" s="10"/>
      <c r="H46" s="52">
        <f t="shared" si="5"/>
        <v>2700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2100</v>
      </c>
      <c r="G47" s="10"/>
      <c r="H47" s="52">
        <f t="shared" si="5"/>
        <v>2100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2550</v>
      </c>
      <c r="G48" s="10"/>
      <c r="H48" s="52">
        <f t="shared" si="5"/>
        <v>2550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1200</v>
      </c>
      <c r="G49" s="10"/>
      <c r="H49" s="52">
        <f t="shared" si="5"/>
        <v>1200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2250</v>
      </c>
      <c r="G50" s="10"/>
      <c r="H50" s="52">
        <f t="shared" si="5"/>
        <v>2250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0</v>
      </c>
      <c r="G51" s="10"/>
      <c r="H51" s="52">
        <f t="shared" si="5"/>
        <v>0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150</v>
      </c>
      <c r="G52" s="10"/>
      <c r="H52" s="53">
        <f t="shared" si="5"/>
        <v>150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0</v>
      </c>
      <c r="F54" s="20">
        <f t="shared" ref="F54:G63" si="7">F5</f>
        <v>5400</v>
      </c>
      <c r="G54" s="20">
        <f t="shared" si="7"/>
        <v>28494.117647058825</v>
      </c>
      <c r="H54" s="51">
        <f>SUM(E54:G54)</f>
        <v>33894.117647058825</v>
      </c>
      <c r="I54" s="10" t="s">
        <v>52</v>
      </c>
      <c r="J54" s="51">
        <f>0.25*J21</f>
        <v>7000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0</v>
      </c>
      <c r="F55" s="10">
        <f t="shared" si="7"/>
        <v>4800</v>
      </c>
      <c r="G55" s="10">
        <f t="shared" si="7"/>
        <v>33694.117647058825</v>
      </c>
      <c r="H55" s="52">
        <f t="shared" ref="H55:H63" si="8">SUM(E55:G55)</f>
        <v>38494.117647058825</v>
      </c>
      <c r="I55" s="10" t="s">
        <v>52</v>
      </c>
      <c r="J55" s="52">
        <f t="shared" ref="J55:J63" si="9">0.25*J22</f>
        <v>8000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0</v>
      </c>
      <c r="F56" s="10">
        <f t="shared" si="7"/>
        <v>2400</v>
      </c>
      <c r="G56" s="10">
        <f t="shared" si="7"/>
        <v>21552.941176470591</v>
      </c>
      <c r="H56" s="52">
        <f t="shared" si="8"/>
        <v>23952.941176470591</v>
      </c>
      <c r="I56" s="10" t="s">
        <v>52</v>
      </c>
      <c r="J56" s="52">
        <f t="shared" si="9"/>
        <v>5000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0</v>
      </c>
      <c r="F57" s="10">
        <f t="shared" si="7"/>
        <v>2700</v>
      </c>
      <c r="G57" s="10">
        <f t="shared" si="7"/>
        <v>23658.823529411766</v>
      </c>
      <c r="H57" s="52">
        <f t="shared" si="8"/>
        <v>26358.823529411766</v>
      </c>
      <c r="I57" s="10" t="s">
        <v>52</v>
      </c>
      <c r="J57" s="52">
        <f t="shared" si="9"/>
        <v>5500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0</v>
      </c>
      <c r="F58" s="10">
        <f t="shared" si="7"/>
        <v>2100</v>
      </c>
      <c r="G58" s="10">
        <f t="shared" si="7"/>
        <v>20623.529411764706</v>
      </c>
      <c r="H58" s="52">
        <f t="shared" si="8"/>
        <v>22723.529411764706</v>
      </c>
      <c r="I58" s="10" t="s">
        <v>52</v>
      </c>
      <c r="J58" s="52">
        <f t="shared" si="9"/>
        <v>4750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0</v>
      </c>
      <c r="F59" s="10">
        <f t="shared" si="7"/>
        <v>2550</v>
      </c>
      <c r="G59" s="10">
        <f t="shared" si="7"/>
        <v>15547.058823529413</v>
      </c>
      <c r="H59" s="52">
        <f t="shared" si="8"/>
        <v>18097.058823529413</v>
      </c>
      <c r="I59" s="10" t="s">
        <v>52</v>
      </c>
      <c r="J59" s="52">
        <f t="shared" si="9"/>
        <v>3750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0</v>
      </c>
      <c r="F60" s="10">
        <f t="shared" si="7"/>
        <v>1200</v>
      </c>
      <c r="G60" s="10">
        <f t="shared" si="7"/>
        <v>16070.588235294121</v>
      </c>
      <c r="H60" s="52">
        <f t="shared" si="8"/>
        <v>17270.588235294119</v>
      </c>
      <c r="I60" s="10" t="s">
        <v>52</v>
      </c>
      <c r="J60" s="52">
        <f t="shared" si="9"/>
        <v>3625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0</v>
      </c>
      <c r="F61" s="10">
        <f t="shared" si="7"/>
        <v>2250</v>
      </c>
      <c r="G61" s="10">
        <f t="shared" si="7"/>
        <v>13441.176470588238</v>
      </c>
      <c r="H61" s="52">
        <f t="shared" si="8"/>
        <v>15691.176470588238</v>
      </c>
      <c r="I61" s="10" t="s">
        <v>52</v>
      </c>
      <c r="J61" s="52">
        <f t="shared" si="9"/>
        <v>3250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0</v>
      </c>
      <c r="F62" s="10">
        <f t="shared" si="7"/>
        <v>0</v>
      </c>
      <c r="G62" s="10">
        <f t="shared" si="7"/>
        <v>2352.9411764705892</v>
      </c>
      <c r="H62" s="52">
        <f t="shared" si="8"/>
        <v>2352.9411764705892</v>
      </c>
      <c r="I62" s="10" t="s">
        <v>52</v>
      </c>
      <c r="J62" s="52">
        <f t="shared" si="9"/>
        <v>500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0</v>
      </c>
      <c r="F63" s="23">
        <f t="shared" si="7"/>
        <v>150</v>
      </c>
      <c r="G63" s="23">
        <f t="shared" si="7"/>
        <v>2817.6470588235297</v>
      </c>
      <c r="H63" s="53">
        <f t="shared" si="8"/>
        <v>2967.6470588235297</v>
      </c>
      <c r="I63" s="10" t="s">
        <v>52</v>
      </c>
      <c r="J63" s="53">
        <f t="shared" si="9"/>
        <v>625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0</v>
      </c>
      <c r="D66" s="10"/>
      <c r="E66" s="10"/>
      <c r="F66" s="10"/>
      <c r="G66" s="10"/>
      <c r="H66" s="51">
        <f>C66</f>
        <v>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0</v>
      </c>
      <c r="D67" s="10"/>
      <c r="E67" s="10"/>
      <c r="F67" s="10"/>
      <c r="G67" s="10"/>
      <c r="H67" s="52">
        <f t="shared" ref="H67:H75" si="11">C67</f>
        <v>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0</v>
      </c>
      <c r="D68" s="10"/>
      <c r="E68" s="10"/>
      <c r="F68" s="10"/>
      <c r="G68" s="10"/>
      <c r="H68" s="52">
        <f t="shared" si="11"/>
        <v>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0</v>
      </c>
      <c r="D69" s="10"/>
      <c r="E69" s="10"/>
      <c r="F69" s="10"/>
      <c r="G69" s="10"/>
      <c r="H69" s="52">
        <f t="shared" si="11"/>
        <v>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0</v>
      </c>
      <c r="D70" s="10"/>
      <c r="E70" s="10"/>
      <c r="F70" s="10"/>
      <c r="G70" s="10"/>
      <c r="H70" s="52">
        <f t="shared" si="11"/>
        <v>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0</v>
      </c>
      <c r="D71" s="10"/>
      <c r="E71" s="10"/>
      <c r="F71" s="10"/>
      <c r="G71" s="10"/>
      <c r="H71" s="52">
        <f t="shared" si="11"/>
        <v>0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0</v>
      </c>
      <c r="D72" s="10"/>
      <c r="E72" s="10"/>
      <c r="F72" s="10"/>
      <c r="G72" s="10"/>
      <c r="H72" s="52">
        <f t="shared" si="11"/>
        <v>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0</v>
      </c>
      <c r="D73" s="10"/>
      <c r="E73" s="10"/>
      <c r="F73" s="10"/>
      <c r="G73" s="10"/>
      <c r="H73" s="52">
        <f t="shared" si="11"/>
        <v>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0</v>
      </c>
      <c r="D74" s="10"/>
      <c r="E74" s="10"/>
      <c r="F74" s="10"/>
      <c r="G74" s="10"/>
      <c r="H74" s="52">
        <f t="shared" si="11"/>
        <v>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0</v>
      </c>
      <c r="D75" s="10"/>
      <c r="E75" s="10"/>
      <c r="F75" s="10"/>
      <c r="G75" s="10"/>
      <c r="H75" s="53">
        <f t="shared" si="11"/>
        <v>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0</v>
      </c>
      <c r="E77" s="10"/>
      <c r="F77" s="10"/>
      <c r="G77" s="10"/>
      <c r="H77" s="51">
        <f>D77</f>
        <v>0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0</v>
      </c>
      <c r="E78" s="10"/>
      <c r="F78" s="10"/>
      <c r="G78" s="10"/>
      <c r="H78" s="52">
        <f t="shared" ref="H78:H86" si="13">D78</f>
        <v>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0</v>
      </c>
      <c r="E79" s="10"/>
      <c r="F79" s="10"/>
      <c r="G79" s="10"/>
      <c r="H79" s="52">
        <f t="shared" si="13"/>
        <v>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0</v>
      </c>
      <c r="E80" s="10"/>
      <c r="F80" s="10"/>
      <c r="G80" s="10"/>
      <c r="H80" s="52">
        <f t="shared" si="13"/>
        <v>0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0</v>
      </c>
      <c r="E81" s="10"/>
      <c r="F81" s="10"/>
      <c r="G81" s="10"/>
      <c r="H81" s="52">
        <f t="shared" si="13"/>
        <v>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0</v>
      </c>
      <c r="E82" s="10"/>
      <c r="F82" s="10"/>
      <c r="G82" s="10"/>
      <c r="H82" s="52">
        <f t="shared" si="13"/>
        <v>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0</v>
      </c>
      <c r="E83" s="10"/>
      <c r="F83" s="10"/>
      <c r="G83" s="10"/>
      <c r="H83" s="52">
        <f t="shared" si="13"/>
        <v>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0</v>
      </c>
      <c r="E84" s="10"/>
      <c r="F84" s="10"/>
      <c r="G84" s="10"/>
      <c r="H84" s="52">
        <f t="shared" si="13"/>
        <v>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0</v>
      </c>
      <c r="E85" s="10"/>
      <c r="F85" s="10"/>
      <c r="G85" s="10"/>
      <c r="H85" s="52">
        <f t="shared" si="13"/>
        <v>0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0</v>
      </c>
      <c r="E86" s="10"/>
      <c r="F86" s="10"/>
      <c r="G86" s="10"/>
      <c r="H86" s="53">
        <f t="shared" si="13"/>
        <v>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0</v>
      </c>
      <c r="F88" s="10"/>
      <c r="G88" s="10"/>
      <c r="H88" s="51">
        <f>E88</f>
        <v>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0</v>
      </c>
      <c r="F89" s="10"/>
      <c r="G89" s="10"/>
      <c r="H89" s="52">
        <f t="shared" ref="H89:H97" si="15">E89</f>
        <v>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0</v>
      </c>
      <c r="F90" s="10"/>
      <c r="G90" s="10"/>
      <c r="H90" s="52">
        <f t="shared" si="15"/>
        <v>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0</v>
      </c>
      <c r="F91" s="10"/>
      <c r="G91" s="10"/>
      <c r="H91" s="52">
        <f t="shared" si="15"/>
        <v>0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0</v>
      </c>
      <c r="F92" s="10"/>
      <c r="G92" s="10"/>
      <c r="H92" s="52">
        <f t="shared" si="15"/>
        <v>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0</v>
      </c>
      <c r="F93" s="10"/>
      <c r="G93" s="10"/>
      <c r="H93" s="52">
        <f t="shared" si="15"/>
        <v>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0</v>
      </c>
      <c r="F94" s="10"/>
      <c r="G94" s="10"/>
      <c r="H94" s="52">
        <f t="shared" si="15"/>
        <v>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0</v>
      </c>
      <c r="F95" s="10"/>
      <c r="G95" s="10"/>
      <c r="H95" s="52">
        <f t="shared" si="15"/>
        <v>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0</v>
      </c>
      <c r="F96" s="10"/>
      <c r="G96" s="10"/>
      <c r="H96" s="52">
        <f t="shared" si="15"/>
        <v>0</v>
      </c>
      <c r="I96" s="10" t="s">
        <v>52</v>
      </c>
      <c r="J96" s="55">
        <v>4000</v>
      </c>
      <c r="K96" s="10"/>
    </row>
    <row r="97" spans="2:11" x14ac:dyDescent="0.3">
      <c r="B97" s="18" t="s">
        <v>14</v>
      </c>
      <c r="C97" s="10"/>
      <c r="D97" s="10"/>
      <c r="E97" s="49">
        <f t="shared" si="14"/>
        <v>0</v>
      </c>
      <c r="F97" s="10"/>
      <c r="G97" s="10"/>
      <c r="H97" s="53">
        <f t="shared" si="15"/>
        <v>0</v>
      </c>
      <c r="I97" s="10" t="s">
        <v>52</v>
      </c>
      <c r="J97" s="57">
        <v>1500</v>
      </c>
      <c r="K97" s="10"/>
    </row>
    <row r="98" spans="2:11" x14ac:dyDescent="0.3">
      <c r="C98" s="10"/>
      <c r="D98" s="10"/>
      <c r="E98" s="10"/>
      <c r="F98" s="10"/>
      <c r="G98" s="10"/>
      <c r="H98" s="10"/>
      <c r="I98" s="10"/>
      <c r="K98" s="10"/>
    </row>
    <row r="99" spans="2:11" x14ac:dyDescent="0.3">
      <c r="H99" s="10"/>
      <c r="I99" s="10"/>
      <c r="K99" s="10"/>
    </row>
    <row r="100" spans="2:11" x14ac:dyDescent="0.3">
      <c r="C100" s="10"/>
      <c r="D100" s="10"/>
      <c r="E100" s="10"/>
      <c r="F100" s="10"/>
      <c r="G100" s="10"/>
      <c r="H100" s="10"/>
      <c r="I100" s="10"/>
      <c r="K100" s="10"/>
    </row>
    <row r="101" spans="2:11" x14ac:dyDescent="0.3">
      <c r="C101" s="10"/>
      <c r="D101" s="10"/>
      <c r="E101" s="10"/>
      <c r="F101" s="10"/>
      <c r="G101" s="10"/>
      <c r="H101" s="10"/>
      <c r="I101" s="10"/>
      <c r="K101" s="10"/>
    </row>
    <row r="102" spans="2:11" x14ac:dyDescent="0.3">
      <c r="C102" s="10"/>
      <c r="D102" s="10"/>
      <c r="E102" s="10"/>
      <c r="F102" s="10"/>
      <c r="G102" s="10"/>
      <c r="H102" s="10"/>
      <c r="I102" s="10"/>
      <c r="K102" s="10"/>
    </row>
    <row r="103" spans="2:11" x14ac:dyDescent="0.3">
      <c r="C103" s="10"/>
      <c r="D103" s="10"/>
      <c r="E103" s="10"/>
      <c r="F103" s="10"/>
      <c r="G103" s="10"/>
      <c r="H103" s="10"/>
      <c r="I103" s="10"/>
      <c r="K103" s="10"/>
    </row>
    <row r="104" spans="2:11" x14ac:dyDescent="0.3">
      <c r="C104" s="10"/>
      <c r="D104" s="10"/>
      <c r="E104" s="10"/>
      <c r="F104" s="10"/>
      <c r="G104" s="10"/>
      <c r="H104" s="10"/>
      <c r="I104" s="10"/>
      <c r="K104" s="10"/>
    </row>
    <row r="105" spans="2:11" x14ac:dyDescent="0.3">
      <c r="C105" s="10"/>
      <c r="D105" s="10"/>
      <c r="E105" s="10"/>
      <c r="F105" s="10"/>
      <c r="G105" s="10"/>
      <c r="H105" s="10"/>
      <c r="I105" s="10"/>
      <c r="K105" s="10"/>
    </row>
    <row r="106" spans="2:11" x14ac:dyDescent="0.3">
      <c r="C106" s="10"/>
      <c r="D106" s="10"/>
      <c r="E106" s="10"/>
      <c r="F106" s="10"/>
      <c r="G106" s="10"/>
      <c r="H106" s="10"/>
      <c r="I106" s="10"/>
      <c r="K106" s="10"/>
    </row>
    <row r="107" spans="2:11" x14ac:dyDescent="0.3">
      <c r="C107" s="10"/>
      <c r="D107" s="10"/>
      <c r="E107" s="10"/>
      <c r="F107" s="10"/>
      <c r="G107" s="10"/>
      <c r="H107" s="10"/>
      <c r="I107" s="10"/>
      <c r="K107" s="10"/>
    </row>
    <row r="108" spans="2:11" x14ac:dyDescent="0.3">
      <c r="C108" s="10"/>
      <c r="D108" s="10"/>
      <c r="E108" s="10"/>
      <c r="F108" s="10"/>
      <c r="G108" s="10"/>
      <c r="H108" s="10"/>
      <c r="I108" s="10"/>
      <c r="K108" s="10"/>
    </row>
    <row r="109" spans="2:11" x14ac:dyDescent="0.3">
      <c r="C109" s="10"/>
      <c r="D109" s="10"/>
      <c r="E109" s="10"/>
      <c r="F109" s="10"/>
      <c r="G109" s="10"/>
      <c r="H109" s="10"/>
      <c r="I109" s="10"/>
      <c r="K109" s="10"/>
    </row>
    <row r="110" spans="2:11" x14ac:dyDescent="0.3">
      <c r="C110" s="10"/>
      <c r="D110" s="10"/>
      <c r="E110" s="10"/>
      <c r="F110" s="10"/>
      <c r="G110" s="10"/>
      <c r="H110" s="10"/>
      <c r="I110" s="10"/>
      <c r="K110" s="10"/>
    </row>
    <row r="111" spans="2:11" x14ac:dyDescent="0.3">
      <c r="C111" s="10"/>
      <c r="D111" s="10"/>
      <c r="E111" s="10"/>
      <c r="F111" s="10"/>
      <c r="G111" s="10"/>
      <c r="H111" s="10"/>
      <c r="I111" s="10"/>
      <c r="K111" s="10"/>
    </row>
    <row r="112" spans="2:11" x14ac:dyDescent="0.3">
      <c r="C112" s="10"/>
      <c r="D112" s="10"/>
      <c r="E112" s="10"/>
      <c r="F112" s="10"/>
      <c r="G112" s="10"/>
      <c r="H112" s="10"/>
      <c r="I112" s="10"/>
      <c r="K112" s="10"/>
    </row>
    <row r="113" spans="3:11" x14ac:dyDescent="0.3">
      <c r="C113" s="10"/>
      <c r="D113" s="10"/>
      <c r="E113" s="10"/>
      <c r="F113" s="10"/>
      <c r="G113" s="10"/>
      <c r="H113" s="10"/>
      <c r="I113" s="10"/>
      <c r="K113" s="10"/>
    </row>
    <row r="114" spans="3:11" x14ac:dyDescent="0.3">
      <c r="C114" s="10"/>
      <c r="D114" s="10"/>
      <c r="E114" s="10"/>
      <c r="F114" s="10"/>
      <c r="G114" s="10"/>
      <c r="H114" s="10"/>
      <c r="I114" s="10"/>
      <c r="K114" s="10"/>
    </row>
    <row r="115" spans="3:11" x14ac:dyDescent="0.3">
      <c r="C115" s="10"/>
      <c r="D115" s="10"/>
      <c r="E115" s="10"/>
      <c r="F115" s="10"/>
      <c r="G115" s="10"/>
      <c r="H115" s="10"/>
      <c r="I115" s="10"/>
      <c r="K115" s="10"/>
    </row>
    <row r="116" spans="3:11" x14ac:dyDescent="0.3">
      <c r="C116" s="10"/>
      <c r="D116" s="10"/>
      <c r="E116" s="10"/>
      <c r="F116" s="10"/>
      <c r="G116" s="10"/>
      <c r="H116" s="10"/>
      <c r="I116" s="10"/>
      <c r="K116" s="10"/>
    </row>
    <row r="117" spans="3:11" x14ac:dyDescent="0.3">
      <c r="C117" s="10"/>
      <c r="D117" s="10"/>
      <c r="E117" s="10"/>
      <c r="F117" s="10"/>
      <c r="G117" s="10"/>
      <c r="H117" s="10"/>
      <c r="I117" s="10"/>
      <c r="K117" s="10"/>
    </row>
    <row r="118" spans="3:11" x14ac:dyDescent="0.3">
      <c r="C118" s="10"/>
      <c r="D118" s="10"/>
      <c r="E118" s="10"/>
      <c r="F118" s="10"/>
      <c r="G118" s="10"/>
      <c r="H118" s="10"/>
      <c r="I118" s="10"/>
      <c r="K118" s="10"/>
    </row>
    <row r="119" spans="3:11" x14ac:dyDescent="0.3">
      <c r="C119" s="10"/>
      <c r="D119" s="10"/>
      <c r="E119" s="10"/>
      <c r="F119" s="10"/>
      <c r="G119" s="10"/>
      <c r="H119" s="10"/>
      <c r="I119" s="10"/>
      <c r="K119" s="10"/>
    </row>
    <row r="120" spans="3:11" x14ac:dyDescent="0.3">
      <c r="C120" s="10"/>
      <c r="D120" s="10"/>
      <c r="E120" s="10"/>
      <c r="F120" s="10"/>
      <c r="G120" s="10"/>
      <c r="H120" s="10"/>
      <c r="I120" s="10"/>
      <c r="K120" s="10"/>
    </row>
    <row r="121" spans="3:11" x14ac:dyDescent="0.3">
      <c r="C121" s="10"/>
      <c r="D121" s="10"/>
      <c r="E121" s="10"/>
      <c r="F121" s="10"/>
      <c r="G121" s="10"/>
      <c r="H121" s="10"/>
      <c r="I121" s="10"/>
      <c r="K121" s="10"/>
    </row>
    <row r="122" spans="3:11" x14ac:dyDescent="0.3">
      <c r="C122" s="10"/>
      <c r="D122" s="10"/>
      <c r="E122" s="10"/>
      <c r="F122" s="10"/>
      <c r="G122" s="10"/>
      <c r="H122" s="10"/>
      <c r="I122" s="10"/>
      <c r="K122" s="10"/>
    </row>
    <row r="123" spans="3:11" x14ac:dyDescent="0.3">
      <c r="C123" s="10"/>
      <c r="D123" s="10"/>
      <c r="E123" s="10"/>
      <c r="F123" s="10"/>
      <c r="G123" s="10"/>
      <c r="H123" s="10"/>
      <c r="I123" s="10"/>
      <c r="K123" s="10"/>
    </row>
    <row r="124" spans="3:11" x14ac:dyDescent="0.3">
      <c r="C124" s="10"/>
      <c r="D124" s="10"/>
      <c r="E124" s="10"/>
      <c r="F124" s="10"/>
      <c r="G124" s="10"/>
      <c r="H124" s="10"/>
      <c r="I124" s="10"/>
      <c r="K124" s="10"/>
    </row>
    <row r="125" spans="3:11" x14ac:dyDescent="0.3">
      <c r="C125" s="10"/>
      <c r="D125" s="10"/>
      <c r="E125" s="10"/>
      <c r="F125" s="10"/>
      <c r="G125" s="10"/>
      <c r="H125" s="10"/>
      <c r="I125" s="10"/>
      <c r="K125" s="10"/>
    </row>
  </sheetData>
  <mergeCells count="1">
    <mergeCell ref="A1:B1"/>
  </mergeCells>
  <pageMargins left="0.25" right="0.25" top="0.75" bottom="0.75" header="0.3" footer="0.3"/>
  <pageSetup paperSize="66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984-5C13-4883-B6BA-74CFE0ABFDCD}">
  <dimension ref="A1:K125"/>
  <sheetViews>
    <sheetView topLeftCell="A66" workbookViewId="0">
      <selection activeCell="M15" sqref="M15"/>
    </sheetView>
  </sheetViews>
  <sheetFormatPr defaultRowHeight="14.4" x14ac:dyDescent="0.3"/>
  <cols>
    <col min="1" max="1" width="35.5546875" customWidth="1"/>
    <col min="2" max="2" width="17.77734375" customWidth="1"/>
    <col min="3" max="3" width="12.77734375" customWidth="1"/>
    <col min="4" max="4" width="12.109375" customWidth="1"/>
    <col min="5" max="9" width="12.77734375" customWidth="1"/>
    <col min="10" max="10" width="12.77734375" style="10" customWidth="1"/>
  </cols>
  <sheetData>
    <row r="1" spans="1:11" ht="25.8" x14ac:dyDescent="0.5">
      <c r="A1" s="93" t="s">
        <v>62</v>
      </c>
      <c r="B1" s="94"/>
      <c r="C1" s="10"/>
      <c r="D1" s="10"/>
      <c r="E1" s="10"/>
      <c r="F1" s="10"/>
      <c r="G1" s="10"/>
      <c r="H1" s="10"/>
      <c r="I1" s="10"/>
      <c r="K1" s="10"/>
    </row>
    <row r="2" spans="1:11" x14ac:dyDescent="0.3">
      <c r="C2" s="10"/>
      <c r="D2" s="10"/>
      <c r="E2" s="10"/>
      <c r="F2" s="10"/>
      <c r="G2" s="10"/>
      <c r="H2" s="10"/>
      <c r="I2" s="10"/>
      <c r="K2" s="10"/>
    </row>
    <row r="3" spans="1:11" x14ac:dyDescent="0.3">
      <c r="A3" s="65" t="s">
        <v>36</v>
      </c>
      <c r="C3" s="10"/>
      <c r="D3" s="10"/>
      <c r="E3" s="10"/>
      <c r="F3" s="10"/>
      <c r="G3" s="10"/>
      <c r="H3" s="10"/>
      <c r="I3" s="10"/>
      <c r="K3" s="10"/>
    </row>
    <row r="4" spans="1:11" x14ac:dyDescent="0.3">
      <c r="C4" s="13" t="s">
        <v>16</v>
      </c>
      <c r="D4" s="14" t="s">
        <v>17</v>
      </c>
      <c r="E4" s="14" t="s">
        <v>18</v>
      </c>
      <c r="F4" s="14" t="s">
        <v>19</v>
      </c>
      <c r="G4" s="15" t="s">
        <v>20</v>
      </c>
      <c r="H4" s="10"/>
      <c r="I4" s="10"/>
      <c r="K4" s="10"/>
    </row>
    <row r="5" spans="1:11" x14ac:dyDescent="0.3">
      <c r="B5" s="16" t="s">
        <v>5</v>
      </c>
      <c r="C5" s="24">
        <v>22000</v>
      </c>
      <c r="D5" s="25">
        <v>2000</v>
      </c>
      <c r="E5" s="25">
        <v>500</v>
      </c>
      <c r="F5" s="25">
        <v>5400</v>
      </c>
      <c r="G5" s="26">
        <v>23023.52941176471</v>
      </c>
      <c r="H5" s="10"/>
      <c r="I5" s="10"/>
      <c r="K5" s="10"/>
    </row>
    <row r="6" spans="1:11" x14ac:dyDescent="0.3">
      <c r="B6" s="17" t="s">
        <v>6</v>
      </c>
      <c r="C6" s="27">
        <v>15000</v>
      </c>
      <c r="D6" s="28">
        <v>5000</v>
      </c>
      <c r="E6" s="28">
        <v>1000</v>
      </c>
      <c r="F6" s="28">
        <v>4799.9999999999964</v>
      </c>
      <c r="G6" s="29">
        <v>28164.705882352944</v>
      </c>
      <c r="H6" s="10"/>
      <c r="I6" s="10"/>
      <c r="K6" s="10"/>
    </row>
    <row r="7" spans="1:11" x14ac:dyDescent="0.3">
      <c r="B7" s="17" t="s">
        <v>7</v>
      </c>
      <c r="C7" s="27">
        <v>10000</v>
      </c>
      <c r="D7" s="28">
        <v>12000</v>
      </c>
      <c r="E7" s="28">
        <v>500</v>
      </c>
      <c r="F7" s="28">
        <v>2400</v>
      </c>
      <c r="G7" s="29">
        <v>14905.882352941182</v>
      </c>
      <c r="H7" s="10"/>
      <c r="I7" s="10"/>
      <c r="K7" s="10"/>
    </row>
    <row r="8" spans="1:11" x14ac:dyDescent="0.3">
      <c r="B8" s="17" t="s">
        <v>8</v>
      </c>
      <c r="C8" s="27">
        <v>30000</v>
      </c>
      <c r="D8" s="28">
        <v>15000</v>
      </c>
      <c r="E8" s="28">
        <v>200</v>
      </c>
      <c r="F8" s="28">
        <v>2700</v>
      </c>
      <c r="G8" s="29">
        <v>10581.176470588242</v>
      </c>
      <c r="H8" s="10"/>
      <c r="I8" s="10"/>
      <c r="K8" s="10"/>
    </row>
    <row r="9" spans="1:11" x14ac:dyDescent="0.3">
      <c r="B9" s="17" t="s">
        <v>9</v>
      </c>
      <c r="C9" s="27">
        <v>40000</v>
      </c>
      <c r="D9" s="28">
        <v>8000</v>
      </c>
      <c r="E9" s="28">
        <v>200</v>
      </c>
      <c r="F9" s="28">
        <v>2100</v>
      </c>
      <c r="G9" s="29">
        <v>7435.294117647064</v>
      </c>
      <c r="H9" s="10"/>
      <c r="I9" s="10"/>
      <c r="K9" s="10"/>
    </row>
    <row r="10" spans="1:11" x14ac:dyDescent="0.3">
      <c r="B10" s="17" t="s">
        <v>10</v>
      </c>
      <c r="C10" s="27">
        <v>10000</v>
      </c>
      <c r="D10" s="28">
        <v>3000</v>
      </c>
      <c r="E10" s="28">
        <v>500</v>
      </c>
      <c r="F10" s="28">
        <v>2550</v>
      </c>
      <c r="G10" s="29">
        <v>12182.352941176472</v>
      </c>
      <c r="H10" s="10"/>
      <c r="I10" s="10"/>
      <c r="K10" s="10"/>
    </row>
    <row r="11" spans="1:11" x14ac:dyDescent="0.3">
      <c r="B11" s="17" t="s">
        <v>11</v>
      </c>
      <c r="C11" s="27">
        <v>12000</v>
      </c>
      <c r="D11" s="28">
        <v>6000</v>
      </c>
      <c r="E11" s="28">
        <v>2000</v>
      </c>
      <c r="F11" s="28">
        <v>1200</v>
      </c>
      <c r="G11" s="29">
        <v>10494.117647058825</v>
      </c>
      <c r="H11" s="10"/>
      <c r="I11" s="10"/>
      <c r="K11" s="10"/>
    </row>
    <row r="12" spans="1:11" x14ac:dyDescent="0.3">
      <c r="B12" s="17" t="s">
        <v>12</v>
      </c>
      <c r="C12" s="27">
        <v>12000</v>
      </c>
      <c r="D12" s="28">
        <v>8000</v>
      </c>
      <c r="E12" s="28">
        <v>500</v>
      </c>
      <c r="F12" s="28">
        <v>2250</v>
      </c>
      <c r="G12" s="29">
        <v>7611.7647058823568</v>
      </c>
      <c r="H12" s="10"/>
      <c r="I12" s="10"/>
      <c r="K12" s="10"/>
    </row>
    <row r="13" spans="1:11" x14ac:dyDescent="0.3">
      <c r="B13" s="17" t="s">
        <v>13</v>
      </c>
      <c r="C13" s="27">
        <v>800</v>
      </c>
      <c r="D13" s="28">
        <v>400</v>
      </c>
      <c r="E13" s="28">
        <v>4000</v>
      </c>
      <c r="F13" s="28">
        <v>0</v>
      </c>
      <c r="G13" s="29">
        <v>9.4117647058831402</v>
      </c>
      <c r="H13" s="10"/>
      <c r="I13" s="10"/>
      <c r="K13" s="10"/>
    </row>
    <row r="14" spans="1:11" x14ac:dyDescent="0.3">
      <c r="B14" s="18" t="s">
        <v>14</v>
      </c>
      <c r="C14" s="30">
        <v>500</v>
      </c>
      <c r="D14" s="31">
        <v>200</v>
      </c>
      <c r="E14" s="31">
        <v>1500</v>
      </c>
      <c r="F14" s="31">
        <v>150</v>
      </c>
      <c r="G14" s="32">
        <v>2076.4705882352946</v>
      </c>
      <c r="H14" s="10"/>
      <c r="I14" s="10"/>
      <c r="K14" s="10"/>
    </row>
    <row r="15" spans="1:11" x14ac:dyDescent="0.3">
      <c r="C15" s="10"/>
      <c r="D15" s="10"/>
      <c r="E15" s="10"/>
      <c r="F15" s="10"/>
      <c r="G15" s="10"/>
      <c r="H15" s="10"/>
      <c r="I15" s="10"/>
      <c r="K15" s="10"/>
    </row>
    <row r="16" spans="1:11" x14ac:dyDescent="0.3">
      <c r="A16" s="66" t="s">
        <v>37</v>
      </c>
      <c r="C16" s="10"/>
      <c r="D16" s="10"/>
      <c r="E16" s="10"/>
      <c r="F16" s="10"/>
      <c r="G16" s="10"/>
      <c r="H16" s="10"/>
      <c r="I16" s="10"/>
      <c r="K16" s="10"/>
    </row>
    <row r="17" spans="1:11" x14ac:dyDescent="0.3">
      <c r="A17" s="64" t="s">
        <v>38</v>
      </c>
      <c r="B17" s="9"/>
      <c r="C17" s="33">
        <f>SUM(C5:C14)*C18</f>
        <v>8376500000</v>
      </c>
      <c r="D17" s="34">
        <f>SUM(D5:D14)*D18</f>
        <v>3874000000</v>
      </c>
      <c r="E17" s="34">
        <f>SUM(E5:E14)*E18</f>
        <v>872000000</v>
      </c>
      <c r="F17" s="34">
        <f>SUM(F5:F14)*F18</f>
        <v>1059749999.9999999</v>
      </c>
      <c r="G17" s="35">
        <f>SUM(G5:G14)*G18</f>
        <v>3494541176.4705892</v>
      </c>
      <c r="H17" s="36">
        <f>SUM(C17:G17)</f>
        <v>17676791176.470589</v>
      </c>
      <c r="I17" s="10"/>
      <c r="K17" s="10"/>
    </row>
    <row r="18" spans="1:11" x14ac:dyDescent="0.3">
      <c r="A18" s="18" t="s">
        <v>61</v>
      </c>
      <c r="B18" s="9"/>
      <c r="C18" s="37">
        <v>55000</v>
      </c>
      <c r="D18" s="38">
        <v>65000</v>
      </c>
      <c r="E18" s="38">
        <v>80000</v>
      </c>
      <c r="F18" s="38">
        <v>45000</v>
      </c>
      <c r="G18" s="39">
        <v>30000</v>
      </c>
      <c r="H18" s="12"/>
      <c r="I18" s="10"/>
      <c r="K18" s="10"/>
    </row>
    <row r="19" spans="1:11" x14ac:dyDescent="0.3">
      <c r="B19" s="9"/>
      <c r="C19" s="10"/>
      <c r="D19" s="10"/>
      <c r="E19" s="10"/>
      <c r="F19" s="10"/>
      <c r="G19" s="10"/>
      <c r="H19" s="10"/>
      <c r="I19" s="10"/>
      <c r="K19" s="10"/>
    </row>
    <row r="20" spans="1:11" x14ac:dyDescent="0.3">
      <c r="A20" s="66" t="s">
        <v>48</v>
      </c>
      <c r="B20" s="9"/>
      <c r="C20" s="10"/>
      <c r="D20" s="10"/>
      <c r="E20" s="10"/>
      <c r="F20" s="10"/>
      <c r="G20" s="10"/>
      <c r="H20" s="50" t="s">
        <v>50</v>
      </c>
      <c r="I20" s="10"/>
      <c r="J20" s="50" t="s">
        <v>51</v>
      </c>
      <c r="K20" s="10"/>
    </row>
    <row r="21" spans="1:11" x14ac:dyDescent="0.3">
      <c r="A21" s="64" t="s">
        <v>49</v>
      </c>
      <c r="B21" s="63" t="s">
        <v>5</v>
      </c>
      <c r="C21" s="42">
        <v>0.2</v>
      </c>
      <c r="D21" s="43">
        <v>0.1</v>
      </c>
      <c r="E21" s="43">
        <v>0.1</v>
      </c>
      <c r="F21" s="43">
        <v>0.7</v>
      </c>
      <c r="G21" s="43">
        <v>0.85</v>
      </c>
      <c r="H21" s="51">
        <f t="shared" ref="H21:H30" si="0">SUMPRODUCT(C5:G5,C21:G21)</f>
        <v>28000.000000000004</v>
      </c>
      <c r="I21" s="10" t="s">
        <v>52</v>
      </c>
      <c r="J21" s="58">
        <v>28000</v>
      </c>
      <c r="K21" s="10"/>
    </row>
    <row r="22" spans="1:11" x14ac:dyDescent="0.3">
      <c r="B22" s="40" t="s">
        <v>6</v>
      </c>
      <c r="C22" s="44">
        <v>0.22</v>
      </c>
      <c r="D22" s="3">
        <v>0.25</v>
      </c>
      <c r="E22" s="3">
        <v>0.15</v>
      </c>
      <c r="F22" s="3">
        <v>0.7</v>
      </c>
      <c r="G22" s="3">
        <v>0.85</v>
      </c>
      <c r="H22" s="52">
        <f t="shared" si="0"/>
        <v>32000</v>
      </c>
      <c r="I22" s="10" t="s">
        <v>52</v>
      </c>
      <c r="J22" s="55">
        <v>32000</v>
      </c>
      <c r="K22" s="10"/>
    </row>
    <row r="23" spans="1:11" x14ac:dyDescent="0.3">
      <c r="B23" s="40" t="s">
        <v>7</v>
      </c>
      <c r="C23" s="44">
        <v>0.2</v>
      </c>
      <c r="D23" s="3">
        <v>0.3</v>
      </c>
      <c r="E23" s="3">
        <v>0.1</v>
      </c>
      <c r="F23" s="3">
        <v>0.7</v>
      </c>
      <c r="G23" s="3">
        <v>0.85</v>
      </c>
      <c r="H23" s="52">
        <f t="shared" si="0"/>
        <v>20000.000000000004</v>
      </c>
      <c r="I23" s="10" t="s">
        <v>52</v>
      </c>
      <c r="J23" s="55">
        <v>20000</v>
      </c>
      <c r="K23" s="10"/>
    </row>
    <row r="24" spans="1:11" x14ac:dyDescent="0.3">
      <c r="B24" s="40" t="s">
        <v>8</v>
      </c>
      <c r="C24" s="44">
        <v>0.23</v>
      </c>
      <c r="D24" s="3">
        <v>0.28000000000000003</v>
      </c>
      <c r="E24" s="3">
        <v>0.08</v>
      </c>
      <c r="F24" s="3">
        <v>0.7</v>
      </c>
      <c r="G24" s="3">
        <v>0.85</v>
      </c>
      <c r="H24" s="52">
        <f t="shared" si="0"/>
        <v>22000.000000000007</v>
      </c>
      <c r="I24" s="10" t="s">
        <v>52</v>
      </c>
      <c r="J24" s="55">
        <v>22000</v>
      </c>
      <c r="K24" s="10"/>
    </row>
    <row r="25" spans="1:11" x14ac:dyDescent="0.3">
      <c r="B25" s="40" t="s">
        <v>9</v>
      </c>
      <c r="C25" s="44">
        <v>0.25</v>
      </c>
      <c r="D25" s="3">
        <v>0.15</v>
      </c>
      <c r="E25" s="3">
        <v>0.05</v>
      </c>
      <c r="F25" s="3">
        <v>0.7</v>
      </c>
      <c r="G25" s="3">
        <v>0.85</v>
      </c>
      <c r="H25" s="52">
        <f t="shared" si="0"/>
        <v>19000.000000000004</v>
      </c>
      <c r="I25" s="10" t="s">
        <v>52</v>
      </c>
      <c r="J25" s="55">
        <v>19000</v>
      </c>
      <c r="K25" s="10"/>
    </row>
    <row r="26" spans="1:11" x14ac:dyDescent="0.3">
      <c r="B26" s="40" t="s">
        <v>10</v>
      </c>
      <c r="C26" s="44">
        <v>0.22</v>
      </c>
      <c r="D26" s="3">
        <v>0.2</v>
      </c>
      <c r="E26" s="3">
        <v>0.12</v>
      </c>
      <c r="F26" s="3">
        <v>0.7</v>
      </c>
      <c r="G26" s="3">
        <v>0.85</v>
      </c>
      <c r="H26" s="52">
        <f t="shared" si="0"/>
        <v>15000.000000000002</v>
      </c>
      <c r="I26" s="10" t="s">
        <v>52</v>
      </c>
      <c r="J26" s="55">
        <v>15000</v>
      </c>
      <c r="K26" s="10"/>
    </row>
    <row r="27" spans="1:11" x14ac:dyDescent="0.3">
      <c r="B27" s="40" t="s">
        <v>11</v>
      </c>
      <c r="C27" s="44">
        <v>0.22</v>
      </c>
      <c r="D27" s="3">
        <v>0.25</v>
      </c>
      <c r="E27" s="3">
        <v>0.3</v>
      </c>
      <c r="F27" s="3">
        <v>0.7</v>
      </c>
      <c r="G27" s="3">
        <v>0.85</v>
      </c>
      <c r="H27" s="52">
        <f t="shared" si="0"/>
        <v>14500.000000000002</v>
      </c>
      <c r="I27" s="10" t="s">
        <v>52</v>
      </c>
      <c r="J27" s="55">
        <v>14500</v>
      </c>
      <c r="K27" s="10"/>
    </row>
    <row r="28" spans="1:11" x14ac:dyDescent="0.3">
      <c r="B28" s="40" t="s">
        <v>12</v>
      </c>
      <c r="C28" s="44">
        <v>0.22</v>
      </c>
      <c r="D28" s="3">
        <v>0.28000000000000003</v>
      </c>
      <c r="E28" s="3">
        <v>0.15</v>
      </c>
      <c r="F28" s="3">
        <v>0.7</v>
      </c>
      <c r="G28" s="3">
        <v>0.85</v>
      </c>
      <c r="H28" s="52">
        <f t="shared" si="0"/>
        <v>13000.000000000004</v>
      </c>
      <c r="I28" s="10" t="s">
        <v>52</v>
      </c>
      <c r="J28" s="55">
        <v>13000</v>
      </c>
      <c r="K28" s="10"/>
    </row>
    <row r="29" spans="1:11" x14ac:dyDescent="0.3">
      <c r="B29" s="40" t="s">
        <v>13</v>
      </c>
      <c r="C29" s="44">
        <v>0.18</v>
      </c>
      <c r="D29" s="3">
        <v>0.12</v>
      </c>
      <c r="E29" s="3">
        <v>0.45</v>
      </c>
      <c r="F29" s="3">
        <v>0.7</v>
      </c>
      <c r="G29" s="3">
        <v>0.85</v>
      </c>
      <c r="H29" s="52">
        <f t="shared" si="0"/>
        <v>2000.0000000000007</v>
      </c>
      <c r="I29" s="10" t="s">
        <v>52</v>
      </c>
      <c r="J29" s="55">
        <v>2000</v>
      </c>
      <c r="K29" s="10"/>
    </row>
    <row r="30" spans="1:11" x14ac:dyDescent="0.3">
      <c r="B30" s="41" t="s">
        <v>14</v>
      </c>
      <c r="C30" s="45">
        <v>0.17</v>
      </c>
      <c r="D30" s="46">
        <v>0.1</v>
      </c>
      <c r="E30" s="46">
        <v>0.35</v>
      </c>
      <c r="F30" s="46">
        <v>0.7</v>
      </c>
      <c r="G30" s="46">
        <v>0.85</v>
      </c>
      <c r="H30" s="53">
        <f t="shared" si="0"/>
        <v>2500.0000000000005</v>
      </c>
      <c r="I30" s="10" t="s">
        <v>52</v>
      </c>
      <c r="J30" s="57">
        <v>2500</v>
      </c>
      <c r="K30" s="10"/>
    </row>
    <row r="31" spans="1:11" x14ac:dyDescent="0.3">
      <c r="C31" s="10"/>
      <c r="D31" s="10"/>
      <c r="E31" s="10"/>
      <c r="F31" s="10"/>
      <c r="G31" s="10"/>
      <c r="H31" s="10"/>
      <c r="I31" s="10"/>
      <c r="K31" s="10"/>
    </row>
    <row r="32" spans="1:11" x14ac:dyDescent="0.3">
      <c r="A32" s="64" t="s">
        <v>53</v>
      </c>
      <c r="B32" s="63" t="s">
        <v>5</v>
      </c>
      <c r="C32" s="42">
        <f t="shared" ref="C32:G41" si="1">C5</f>
        <v>22000</v>
      </c>
      <c r="D32" s="43">
        <f t="shared" si="1"/>
        <v>2000</v>
      </c>
      <c r="E32" s="43">
        <f t="shared" si="1"/>
        <v>500</v>
      </c>
      <c r="F32" s="43">
        <f t="shared" si="1"/>
        <v>5400</v>
      </c>
      <c r="G32" s="43">
        <f t="shared" si="1"/>
        <v>23023.52941176471</v>
      </c>
      <c r="H32" s="51">
        <f>0.4*SUM(C32:G32)</f>
        <v>21169.411764705888</v>
      </c>
      <c r="I32" s="10" t="s">
        <v>52</v>
      </c>
      <c r="J32" s="54">
        <f>F32</f>
        <v>5400</v>
      </c>
      <c r="K32" s="10"/>
    </row>
    <row r="33" spans="1:11" x14ac:dyDescent="0.3">
      <c r="B33" s="40" t="s">
        <v>6</v>
      </c>
      <c r="C33" s="44">
        <f t="shared" si="1"/>
        <v>15000</v>
      </c>
      <c r="D33" s="3">
        <f t="shared" si="1"/>
        <v>5000</v>
      </c>
      <c r="E33" s="3">
        <f t="shared" si="1"/>
        <v>1000</v>
      </c>
      <c r="F33" s="3">
        <f t="shared" si="1"/>
        <v>4799.9999999999964</v>
      </c>
      <c r="G33" s="3">
        <f t="shared" si="1"/>
        <v>28164.705882352944</v>
      </c>
      <c r="H33" s="52">
        <f t="shared" ref="H33:H41" si="2">0.4*SUM(C33:G33)</f>
        <v>21585.882352941175</v>
      </c>
      <c r="I33" s="10" t="s">
        <v>52</v>
      </c>
      <c r="J33" s="56">
        <f t="shared" ref="J33:J41" si="3">F33</f>
        <v>4799.9999999999964</v>
      </c>
      <c r="K33" s="10"/>
    </row>
    <row r="34" spans="1:11" x14ac:dyDescent="0.3">
      <c r="B34" s="40" t="s">
        <v>7</v>
      </c>
      <c r="C34" s="44">
        <f t="shared" si="1"/>
        <v>10000</v>
      </c>
      <c r="D34" s="3">
        <f t="shared" si="1"/>
        <v>12000</v>
      </c>
      <c r="E34" s="3">
        <f t="shared" si="1"/>
        <v>500</v>
      </c>
      <c r="F34" s="3">
        <f t="shared" si="1"/>
        <v>2400</v>
      </c>
      <c r="G34" s="3">
        <f t="shared" si="1"/>
        <v>14905.882352941182</v>
      </c>
      <c r="H34" s="52">
        <f t="shared" si="2"/>
        <v>15922.352941176474</v>
      </c>
      <c r="I34" s="10" t="s">
        <v>52</v>
      </c>
      <c r="J34" s="56">
        <f t="shared" si="3"/>
        <v>2400</v>
      </c>
      <c r="K34" s="10"/>
    </row>
    <row r="35" spans="1:11" x14ac:dyDescent="0.3">
      <c r="B35" s="40" t="s">
        <v>8</v>
      </c>
      <c r="C35" s="44">
        <f t="shared" si="1"/>
        <v>30000</v>
      </c>
      <c r="D35" s="3">
        <f t="shared" si="1"/>
        <v>15000</v>
      </c>
      <c r="E35" s="3">
        <f t="shared" si="1"/>
        <v>200</v>
      </c>
      <c r="F35" s="3">
        <f t="shared" si="1"/>
        <v>2700</v>
      </c>
      <c r="G35" s="3">
        <f t="shared" si="1"/>
        <v>10581.176470588242</v>
      </c>
      <c r="H35" s="52">
        <f t="shared" si="2"/>
        <v>23392.470588235297</v>
      </c>
      <c r="I35" s="10" t="s">
        <v>52</v>
      </c>
      <c r="J35" s="56">
        <f t="shared" si="3"/>
        <v>2700</v>
      </c>
      <c r="K35" s="10"/>
    </row>
    <row r="36" spans="1:11" x14ac:dyDescent="0.3">
      <c r="B36" s="40" t="s">
        <v>9</v>
      </c>
      <c r="C36" s="44">
        <f t="shared" si="1"/>
        <v>40000</v>
      </c>
      <c r="D36" s="3">
        <f t="shared" si="1"/>
        <v>8000</v>
      </c>
      <c r="E36" s="3">
        <f t="shared" si="1"/>
        <v>200</v>
      </c>
      <c r="F36" s="3">
        <f t="shared" si="1"/>
        <v>2100</v>
      </c>
      <c r="G36" s="3">
        <f t="shared" si="1"/>
        <v>7435.294117647064</v>
      </c>
      <c r="H36" s="52">
        <f t="shared" si="2"/>
        <v>23094.117647058825</v>
      </c>
      <c r="I36" s="10" t="s">
        <v>52</v>
      </c>
      <c r="J36" s="56">
        <f t="shared" si="3"/>
        <v>2100</v>
      </c>
      <c r="K36" s="10"/>
    </row>
    <row r="37" spans="1:11" x14ac:dyDescent="0.3">
      <c r="B37" s="40" t="s">
        <v>10</v>
      </c>
      <c r="C37" s="44">
        <f t="shared" si="1"/>
        <v>10000</v>
      </c>
      <c r="D37" s="3">
        <f t="shared" si="1"/>
        <v>3000</v>
      </c>
      <c r="E37" s="3">
        <f t="shared" si="1"/>
        <v>500</v>
      </c>
      <c r="F37" s="3">
        <f t="shared" si="1"/>
        <v>2550</v>
      </c>
      <c r="G37" s="3">
        <f t="shared" si="1"/>
        <v>12182.352941176472</v>
      </c>
      <c r="H37" s="52">
        <f t="shared" si="2"/>
        <v>11292.941176470589</v>
      </c>
      <c r="I37" s="10" t="s">
        <v>52</v>
      </c>
      <c r="J37" s="56">
        <f t="shared" si="3"/>
        <v>2550</v>
      </c>
      <c r="K37" s="10"/>
    </row>
    <row r="38" spans="1:11" x14ac:dyDescent="0.3">
      <c r="B38" s="40" t="s">
        <v>11</v>
      </c>
      <c r="C38" s="44">
        <f t="shared" si="1"/>
        <v>12000</v>
      </c>
      <c r="D38" s="3">
        <f t="shared" si="1"/>
        <v>6000</v>
      </c>
      <c r="E38" s="3">
        <f t="shared" si="1"/>
        <v>2000</v>
      </c>
      <c r="F38" s="3">
        <f t="shared" si="1"/>
        <v>1200</v>
      </c>
      <c r="G38" s="3">
        <f t="shared" si="1"/>
        <v>10494.117647058825</v>
      </c>
      <c r="H38" s="52">
        <f t="shared" si="2"/>
        <v>12677.647058823532</v>
      </c>
      <c r="I38" s="10" t="s">
        <v>52</v>
      </c>
      <c r="J38" s="56">
        <f t="shared" si="3"/>
        <v>1200</v>
      </c>
      <c r="K38" s="10"/>
    </row>
    <row r="39" spans="1:11" x14ac:dyDescent="0.3">
      <c r="B39" s="40" t="s">
        <v>12</v>
      </c>
      <c r="C39" s="44">
        <f t="shared" si="1"/>
        <v>12000</v>
      </c>
      <c r="D39" s="3">
        <f t="shared" si="1"/>
        <v>8000</v>
      </c>
      <c r="E39" s="3">
        <f t="shared" si="1"/>
        <v>500</v>
      </c>
      <c r="F39" s="3">
        <f t="shared" si="1"/>
        <v>2250</v>
      </c>
      <c r="G39" s="3">
        <f t="shared" si="1"/>
        <v>7611.7647058823568</v>
      </c>
      <c r="H39" s="52">
        <f t="shared" si="2"/>
        <v>12144.705882352944</v>
      </c>
      <c r="I39" s="10" t="s">
        <v>52</v>
      </c>
      <c r="J39" s="56">
        <f t="shared" si="3"/>
        <v>2250</v>
      </c>
      <c r="K39" s="10"/>
    </row>
    <row r="40" spans="1:11" x14ac:dyDescent="0.3">
      <c r="B40" s="40" t="s">
        <v>13</v>
      </c>
      <c r="C40" s="44">
        <f t="shared" si="1"/>
        <v>800</v>
      </c>
      <c r="D40" s="3">
        <f t="shared" si="1"/>
        <v>400</v>
      </c>
      <c r="E40" s="3">
        <f t="shared" si="1"/>
        <v>4000</v>
      </c>
      <c r="F40" s="3">
        <f t="shared" si="1"/>
        <v>0</v>
      </c>
      <c r="G40" s="3">
        <f t="shared" si="1"/>
        <v>9.4117647058831402</v>
      </c>
      <c r="H40" s="52">
        <f t="shared" si="2"/>
        <v>2083.7647058823532</v>
      </c>
      <c r="I40" s="10" t="s">
        <v>52</v>
      </c>
      <c r="J40" s="56">
        <f t="shared" si="3"/>
        <v>0</v>
      </c>
      <c r="K40" s="10"/>
    </row>
    <row r="41" spans="1:11" x14ac:dyDescent="0.3">
      <c r="B41" s="41" t="s">
        <v>14</v>
      </c>
      <c r="C41" s="45">
        <f t="shared" si="1"/>
        <v>500</v>
      </c>
      <c r="D41" s="46">
        <f t="shared" si="1"/>
        <v>200</v>
      </c>
      <c r="E41" s="46">
        <f t="shared" si="1"/>
        <v>1500</v>
      </c>
      <c r="F41" s="46">
        <f t="shared" si="1"/>
        <v>150</v>
      </c>
      <c r="G41" s="46">
        <f t="shared" si="1"/>
        <v>2076.4705882352946</v>
      </c>
      <c r="H41" s="53">
        <f t="shared" si="2"/>
        <v>1770.588235294118</v>
      </c>
      <c r="I41" s="10" t="s">
        <v>52</v>
      </c>
      <c r="J41" s="59">
        <f t="shared" si="3"/>
        <v>150</v>
      </c>
      <c r="K41" s="10"/>
    </row>
    <row r="42" spans="1:11" x14ac:dyDescent="0.3">
      <c r="C42" s="10"/>
      <c r="D42" s="10"/>
      <c r="E42" s="10"/>
      <c r="F42" s="10"/>
      <c r="G42" s="10"/>
      <c r="H42" s="10"/>
      <c r="I42" s="10"/>
      <c r="K42" s="10"/>
    </row>
    <row r="43" spans="1:11" x14ac:dyDescent="0.3">
      <c r="A43" s="64" t="s">
        <v>55</v>
      </c>
      <c r="B43" s="62" t="s">
        <v>5</v>
      </c>
      <c r="C43" s="10"/>
      <c r="D43" s="10"/>
      <c r="E43" s="10"/>
      <c r="F43" s="47">
        <f t="shared" ref="F43:F52" si="4">F5</f>
        <v>5400</v>
      </c>
      <c r="G43" s="10"/>
      <c r="H43" s="51">
        <f>F43</f>
        <v>5400</v>
      </c>
      <c r="I43" s="10" t="s">
        <v>52</v>
      </c>
      <c r="J43" s="60">
        <v>5400</v>
      </c>
      <c r="K43" s="10"/>
    </row>
    <row r="44" spans="1:11" x14ac:dyDescent="0.3">
      <c r="B44" s="17" t="s">
        <v>6</v>
      </c>
      <c r="C44" s="10"/>
      <c r="D44" s="10"/>
      <c r="E44" s="10"/>
      <c r="F44" s="48">
        <f t="shared" si="4"/>
        <v>4799.9999999999964</v>
      </c>
      <c r="G44" s="10"/>
      <c r="H44" s="52">
        <f t="shared" ref="H44:H52" si="5">F44</f>
        <v>4799.9999999999964</v>
      </c>
      <c r="I44" s="10" t="s">
        <v>52</v>
      </c>
      <c r="J44" s="61">
        <v>4800</v>
      </c>
      <c r="K44" s="10"/>
    </row>
    <row r="45" spans="1:11" x14ac:dyDescent="0.3">
      <c r="B45" s="17" t="s">
        <v>7</v>
      </c>
      <c r="C45" s="10"/>
      <c r="D45" s="10"/>
      <c r="E45" s="10"/>
      <c r="F45" s="48">
        <f t="shared" si="4"/>
        <v>2400</v>
      </c>
      <c r="G45" s="10"/>
      <c r="H45" s="52">
        <f t="shared" si="5"/>
        <v>2400</v>
      </c>
      <c r="I45" s="10" t="s">
        <v>52</v>
      </c>
      <c r="J45" s="61">
        <v>2400</v>
      </c>
      <c r="K45" s="10"/>
    </row>
    <row r="46" spans="1:11" x14ac:dyDescent="0.3">
      <c r="B46" s="17" t="s">
        <v>8</v>
      </c>
      <c r="C46" s="10"/>
      <c r="D46" s="10"/>
      <c r="E46" s="10"/>
      <c r="F46" s="48">
        <f t="shared" si="4"/>
        <v>2700</v>
      </c>
      <c r="G46" s="10"/>
      <c r="H46" s="52">
        <f t="shared" si="5"/>
        <v>2700</v>
      </c>
      <c r="I46" s="10" t="s">
        <v>52</v>
      </c>
      <c r="J46" s="61">
        <v>2700</v>
      </c>
      <c r="K46" s="10"/>
    </row>
    <row r="47" spans="1:11" x14ac:dyDescent="0.3">
      <c r="B47" s="17" t="s">
        <v>9</v>
      </c>
      <c r="C47" s="10"/>
      <c r="D47" s="10"/>
      <c r="E47" s="10"/>
      <c r="F47" s="48">
        <f t="shared" si="4"/>
        <v>2100</v>
      </c>
      <c r="G47" s="10"/>
      <c r="H47" s="52">
        <f t="shared" si="5"/>
        <v>2100</v>
      </c>
      <c r="I47" s="10" t="s">
        <v>52</v>
      </c>
      <c r="J47" s="61">
        <v>2100</v>
      </c>
      <c r="K47" s="10"/>
    </row>
    <row r="48" spans="1:11" x14ac:dyDescent="0.3">
      <c r="B48" s="17" t="s">
        <v>10</v>
      </c>
      <c r="C48" s="10"/>
      <c r="D48" s="10"/>
      <c r="E48" s="10"/>
      <c r="F48" s="48">
        <f t="shared" si="4"/>
        <v>2550</v>
      </c>
      <c r="G48" s="10"/>
      <c r="H48" s="52">
        <f t="shared" si="5"/>
        <v>2550</v>
      </c>
      <c r="I48" s="10" t="s">
        <v>52</v>
      </c>
      <c r="J48" s="61">
        <v>2550</v>
      </c>
      <c r="K48" s="10"/>
    </row>
    <row r="49" spans="1:11" x14ac:dyDescent="0.3">
      <c r="B49" s="17" t="s">
        <v>11</v>
      </c>
      <c r="C49" s="10"/>
      <c r="D49" s="10"/>
      <c r="E49" s="10"/>
      <c r="F49" s="48">
        <f t="shared" si="4"/>
        <v>1200</v>
      </c>
      <c r="G49" s="10"/>
      <c r="H49" s="52">
        <f t="shared" si="5"/>
        <v>1200</v>
      </c>
      <c r="I49" s="10" t="s">
        <v>52</v>
      </c>
      <c r="J49" s="61">
        <v>1200</v>
      </c>
      <c r="K49" s="10"/>
    </row>
    <row r="50" spans="1:11" x14ac:dyDescent="0.3">
      <c r="B50" s="17" t="s">
        <v>12</v>
      </c>
      <c r="C50" s="10"/>
      <c r="D50" s="10"/>
      <c r="E50" s="10"/>
      <c r="F50" s="48">
        <f t="shared" si="4"/>
        <v>2250</v>
      </c>
      <c r="G50" s="10"/>
      <c r="H50" s="52">
        <f t="shared" si="5"/>
        <v>2250</v>
      </c>
      <c r="I50" s="10" t="s">
        <v>52</v>
      </c>
      <c r="J50" s="61">
        <v>2250</v>
      </c>
      <c r="K50" s="10"/>
    </row>
    <row r="51" spans="1:11" x14ac:dyDescent="0.3">
      <c r="B51" s="17" t="s">
        <v>13</v>
      </c>
      <c r="C51" s="10"/>
      <c r="D51" s="10"/>
      <c r="E51" s="10"/>
      <c r="F51" s="48">
        <f t="shared" si="4"/>
        <v>0</v>
      </c>
      <c r="G51" s="10"/>
      <c r="H51" s="52">
        <f t="shared" si="5"/>
        <v>0</v>
      </c>
      <c r="I51" s="10" t="s">
        <v>52</v>
      </c>
      <c r="J51" s="52">
        <v>0</v>
      </c>
      <c r="K51" s="10"/>
    </row>
    <row r="52" spans="1:11" x14ac:dyDescent="0.3">
      <c r="B52" s="18" t="s">
        <v>14</v>
      </c>
      <c r="C52" s="10"/>
      <c r="D52" s="10"/>
      <c r="E52" s="10"/>
      <c r="F52" s="49">
        <f t="shared" si="4"/>
        <v>150</v>
      </c>
      <c r="G52" s="10"/>
      <c r="H52" s="53">
        <f t="shared" si="5"/>
        <v>150</v>
      </c>
      <c r="I52" s="10" t="s">
        <v>52</v>
      </c>
      <c r="J52" s="53">
        <v>150</v>
      </c>
      <c r="K52" s="10"/>
    </row>
    <row r="53" spans="1:11" x14ac:dyDescent="0.3">
      <c r="C53" s="10"/>
      <c r="D53" s="10"/>
      <c r="E53" s="10"/>
      <c r="F53" s="10"/>
      <c r="G53" s="10"/>
      <c r="H53" s="10"/>
      <c r="I53" s="10"/>
      <c r="K53" s="10"/>
    </row>
    <row r="54" spans="1:11" x14ac:dyDescent="0.3">
      <c r="A54" s="64" t="s">
        <v>59</v>
      </c>
      <c r="B54" s="62" t="s">
        <v>5</v>
      </c>
      <c r="C54" s="10"/>
      <c r="D54" s="10"/>
      <c r="E54" s="19">
        <f t="shared" ref="E54:E63" si="6">PRODUCT(E5,E21)</f>
        <v>50</v>
      </c>
      <c r="F54" s="20">
        <f t="shared" ref="F54:G63" si="7">F5</f>
        <v>5400</v>
      </c>
      <c r="G54" s="20">
        <f t="shared" si="7"/>
        <v>23023.52941176471</v>
      </c>
      <c r="H54" s="51">
        <f>SUM(E54:G54)</f>
        <v>28473.52941176471</v>
      </c>
      <c r="I54" s="10" t="s">
        <v>52</v>
      </c>
      <c r="J54" s="51">
        <f>0.25*J21</f>
        <v>7000</v>
      </c>
      <c r="K54" s="10"/>
    </row>
    <row r="55" spans="1:11" x14ac:dyDescent="0.3">
      <c r="B55" s="17" t="s">
        <v>6</v>
      </c>
      <c r="C55" s="10"/>
      <c r="D55" s="10"/>
      <c r="E55" s="21">
        <f t="shared" si="6"/>
        <v>150</v>
      </c>
      <c r="F55" s="10">
        <f t="shared" si="7"/>
        <v>4799.9999999999964</v>
      </c>
      <c r="G55" s="10">
        <f t="shared" si="7"/>
        <v>28164.705882352944</v>
      </c>
      <c r="H55" s="52">
        <f t="shared" ref="H55:H63" si="8">SUM(E55:G55)</f>
        <v>33114.705882352937</v>
      </c>
      <c r="I55" s="10" t="s">
        <v>52</v>
      </c>
      <c r="J55" s="52">
        <f t="shared" ref="J55:J63" si="9">0.25*J22</f>
        <v>8000</v>
      </c>
      <c r="K55" s="10"/>
    </row>
    <row r="56" spans="1:11" x14ac:dyDescent="0.3">
      <c r="B56" s="17" t="s">
        <v>7</v>
      </c>
      <c r="C56" s="10"/>
      <c r="D56" s="10"/>
      <c r="E56" s="21">
        <f t="shared" si="6"/>
        <v>50</v>
      </c>
      <c r="F56" s="10">
        <f t="shared" si="7"/>
        <v>2400</v>
      </c>
      <c r="G56" s="10">
        <f t="shared" si="7"/>
        <v>14905.882352941182</v>
      </c>
      <c r="H56" s="52">
        <f t="shared" si="8"/>
        <v>17355.882352941182</v>
      </c>
      <c r="I56" s="10" t="s">
        <v>52</v>
      </c>
      <c r="J56" s="52">
        <f t="shared" si="9"/>
        <v>5000</v>
      </c>
      <c r="K56" s="10"/>
    </row>
    <row r="57" spans="1:11" x14ac:dyDescent="0.3">
      <c r="B57" s="17" t="s">
        <v>8</v>
      </c>
      <c r="C57" s="10"/>
      <c r="D57" s="10"/>
      <c r="E57" s="21">
        <f t="shared" si="6"/>
        <v>16</v>
      </c>
      <c r="F57" s="10">
        <f t="shared" si="7"/>
        <v>2700</v>
      </c>
      <c r="G57" s="10">
        <f t="shared" si="7"/>
        <v>10581.176470588242</v>
      </c>
      <c r="H57" s="52">
        <f t="shared" si="8"/>
        <v>13297.176470588242</v>
      </c>
      <c r="I57" s="10" t="s">
        <v>52</v>
      </c>
      <c r="J57" s="52">
        <f t="shared" si="9"/>
        <v>5500</v>
      </c>
      <c r="K57" s="10"/>
    </row>
    <row r="58" spans="1:11" x14ac:dyDescent="0.3">
      <c r="B58" s="17" t="s">
        <v>9</v>
      </c>
      <c r="C58" s="10"/>
      <c r="D58" s="10"/>
      <c r="E58" s="21">
        <f t="shared" si="6"/>
        <v>10</v>
      </c>
      <c r="F58" s="10">
        <f t="shared" si="7"/>
        <v>2100</v>
      </c>
      <c r="G58" s="10">
        <f t="shared" si="7"/>
        <v>7435.294117647064</v>
      </c>
      <c r="H58" s="52">
        <f t="shared" si="8"/>
        <v>9545.2941176470631</v>
      </c>
      <c r="I58" s="10" t="s">
        <v>52</v>
      </c>
      <c r="J58" s="52">
        <f t="shared" si="9"/>
        <v>4750</v>
      </c>
      <c r="K58" s="10"/>
    </row>
    <row r="59" spans="1:11" x14ac:dyDescent="0.3">
      <c r="B59" s="17" t="s">
        <v>10</v>
      </c>
      <c r="C59" s="10"/>
      <c r="D59" s="10"/>
      <c r="E59" s="21">
        <f t="shared" si="6"/>
        <v>60</v>
      </c>
      <c r="F59" s="10">
        <f t="shared" si="7"/>
        <v>2550</v>
      </c>
      <c r="G59" s="10">
        <f t="shared" si="7"/>
        <v>12182.352941176472</v>
      </c>
      <c r="H59" s="52">
        <f t="shared" si="8"/>
        <v>14792.352941176472</v>
      </c>
      <c r="I59" s="10" t="s">
        <v>52</v>
      </c>
      <c r="J59" s="52">
        <f t="shared" si="9"/>
        <v>3750</v>
      </c>
      <c r="K59" s="10"/>
    </row>
    <row r="60" spans="1:11" x14ac:dyDescent="0.3">
      <c r="B60" s="17" t="s">
        <v>11</v>
      </c>
      <c r="C60" s="10"/>
      <c r="D60" s="10"/>
      <c r="E60" s="21">
        <f t="shared" si="6"/>
        <v>600</v>
      </c>
      <c r="F60" s="10">
        <f t="shared" si="7"/>
        <v>1200</v>
      </c>
      <c r="G60" s="10">
        <f t="shared" si="7"/>
        <v>10494.117647058825</v>
      </c>
      <c r="H60" s="52">
        <f t="shared" si="8"/>
        <v>12294.117647058825</v>
      </c>
      <c r="I60" s="10" t="s">
        <v>52</v>
      </c>
      <c r="J60" s="52">
        <f t="shared" si="9"/>
        <v>3625</v>
      </c>
      <c r="K60" s="10"/>
    </row>
    <row r="61" spans="1:11" x14ac:dyDescent="0.3">
      <c r="B61" s="17" t="s">
        <v>12</v>
      </c>
      <c r="C61" s="10"/>
      <c r="D61" s="10"/>
      <c r="E61" s="21">
        <f t="shared" si="6"/>
        <v>75</v>
      </c>
      <c r="F61" s="10">
        <f t="shared" si="7"/>
        <v>2250</v>
      </c>
      <c r="G61" s="10">
        <f t="shared" si="7"/>
        <v>7611.7647058823568</v>
      </c>
      <c r="H61" s="52">
        <f t="shared" si="8"/>
        <v>9936.7647058823568</v>
      </c>
      <c r="I61" s="10" t="s">
        <v>52</v>
      </c>
      <c r="J61" s="52">
        <f t="shared" si="9"/>
        <v>3250</v>
      </c>
      <c r="K61" s="10"/>
    </row>
    <row r="62" spans="1:11" x14ac:dyDescent="0.3">
      <c r="B62" s="17" t="s">
        <v>13</v>
      </c>
      <c r="C62" s="10"/>
      <c r="D62" s="10"/>
      <c r="E62" s="21">
        <f t="shared" si="6"/>
        <v>1800</v>
      </c>
      <c r="F62" s="10">
        <f t="shared" si="7"/>
        <v>0</v>
      </c>
      <c r="G62" s="10">
        <f t="shared" si="7"/>
        <v>9.4117647058831402</v>
      </c>
      <c r="H62" s="52">
        <f t="shared" si="8"/>
        <v>1809.4117647058831</v>
      </c>
      <c r="I62" s="10" t="s">
        <v>52</v>
      </c>
      <c r="J62" s="52">
        <f t="shared" si="9"/>
        <v>500</v>
      </c>
      <c r="K62" s="10"/>
    </row>
    <row r="63" spans="1:11" x14ac:dyDescent="0.3">
      <c r="B63" s="18" t="s">
        <v>14</v>
      </c>
      <c r="C63" s="10"/>
      <c r="D63" s="10"/>
      <c r="E63" s="22">
        <f t="shared" si="6"/>
        <v>525</v>
      </c>
      <c r="F63" s="23">
        <f t="shared" si="7"/>
        <v>150</v>
      </c>
      <c r="G63" s="23">
        <f t="shared" si="7"/>
        <v>2076.4705882352946</v>
      </c>
      <c r="H63" s="53">
        <f t="shared" si="8"/>
        <v>2751.4705882352946</v>
      </c>
      <c r="I63" s="10" t="s">
        <v>52</v>
      </c>
      <c r="J63" s="53">
        <f t="shared" si="9"/>
        <v>625</v>
      </c>
      <c r="K63" s="10"/>
    </row>
    <row r="64" spans="1:11" x14ac:dyDescent="0.3">
      <c r="C64" s="10"/>
      <c r="D64" s="10"/>
      <c r="E64" s="10"/>
      <c r="F64" s="10"/>
      <c r="G64" s="10"/>
      <c r="H64" s="10"/>
      <c r="I64" s="10"/>
      <c r="K64" s="10"/>
    </row>
    <row r="65" spans="1:11" x14ac:dyDescent="0.3">
      <c r="A65" s="64" t="s">
        <v>54</v>
      </c>
      <c r="C65" s="10"/>
      <c r="D65" s="10"/>
      <c r="E65" s="10"/>
      <c r="F65" s="10"/>
      <c r="G65" s="10"/>
      <c r="H65" s="10"/>
      <c r="I65" s="10"/>
      <c r="K65" s="10"/>
    </row>
    <row r="66" spans="1:11" x14ac:dyDescent="0.3">
      <c r="A66" s="64" t="s">
        <v>56</v>
      </c>
      <c r="B66" s="63" t="s">
        <v>5</v>
      </c>
      <c r="C66" s="47">
        <f t="shared" ref="C66:C75" si="10">C5</f>
        <v>22000</v>
      </c>
      <c r="D66" s="10"/>
      <c r="E66" s="10"/>
      <c r="F66" s="10"/>
      <c r="G66" s="10"/>
      <c r="H66" s="51">
        <f>C66</f>
        <v>22000</v>
      </c>
      <c r="I66" s="10" t="s">
        <v>52</v>
      </c>
      <c r="J66" s="58">
        <v>22000</v>
      </c>
      <c r="K66" s="10"/>
    </row>
    <row r="67" spans="1:11" x14ac:dyDescent="0.3">
      <c r="B67" s="40" t="s">
        <v>6</v>
      </c>
      <c r="C67" s="48">
        <f t="shared" si="10"/>
        <v>15000</v>
      </c>
      <c r="D67" s="10"/>
      <c r="E67" s="10"/>
      <c r="F67" s="10"/>
      <c r="G67" s="10"/>
      <c r="H67" s="52">
        <f t="shared" ref="H67:H75" si="11">C67</f>
        <v>15000</v>
      </c>
      <c r="I67" s="10" t="s">
        <v>52</v>
      </c>
      <c r="J67" s="55">
        <v>15000</v>
      </c>
      <c r="K67" s="10"/>
    </row>
    <row r="68" spans="1:11" x14ac:dyDescent="0.3">
      <c r="B68" s="40" t="s">
        <v>7</v>
      </c>
      <c r="C68" s="48">
        <f t="shared" si="10"/>
        <v>10000</v>
      </c>
      <c r="D68" s="10"/>
      <c r="E68" s="10"/>
      <c r="F68" s="10"/>
      <c r="G68" s="10"/>
      <c r="H68" s="52">
        <f t="shared" si="11"/>
        <v>10000</v>
      </c>
      <c r="I68" s="10" t="s">
        <v>52</v>
      </c>
      <c r="J68" s="55">
        <v>10000</v>
      </c>
      <c r="K68" s="10"/>
    </row>
    <row r="69" spans="1:11" x14ac:dyDescent="0.3">
      <c r="B69" s="40" t="s">
        <v>8</v>
      </c>
      <c r="C69" s="48">
        <f t="shared" si="10"/>
        <v>30000</v>
      </c>
      <c r="D69" s="10"/>
      <c r="E69" s="10"/>
      <c r="F69" s="10"/>
      <c r="G69" s="10"/>
      <c r="H69" s="52">
        <f t="shared" si="11"/>
        <v>30000</v>
      </c>
      <c r="I69" s="10" t="s">
        <v>52</v>
      </c>
      <c r="J69" s="55">
        <v>30000</v>
      </c>
      <c r="K69" s="10"/>
    </row>
    <row r="70" spans="1:11" x14ac:dyDescent="0.3">
      <c r="B70" s="40" t="s">
        <v>9</v>
      </c>
      <c r="C70" s="48">
        <f t="shared" si="10"/>
        <v>40000</v>
      </c>
      <c r="D70" s="10"/>
      <c r="E70" s="10"/>
      <c r="F70" s="10"/>
      <c r="G70" s="10"/>
      <c r="H70" s="52">
        <f t="shared" si="11"/>
        <v>40000</v>
      </c>
      <c r="I70" s="10" t="s">
        <v>52</v>
      </c>
      <c r="J70" s="55">
        <v>40000</v>
      </c>
      <c r="K70" s="10"/>
    </row>
    <row r="71" spans="1:11" x14ac:dyDescent="0.3">
      <c r="B71" s="40" t="s">
        <v>10</v>
      </c>
      <c r="C71" s="48">
        <f t="shared" si="10"/>
        <v>10000</v>
      </c>
      <c r="D71" s="10"/>
      <c r="E71" s="10"/>
      <c r="F71" s="10"/>
      <c r="G71" s="10"/>
      <c r="H71" s="52">
        <f t="shared" si="11"/>
        <v>10000</v>
      </c>
      <c r="I71" s="10" t="s">
        <v>52</v>
      </c>
      <c r="J71" s="55">
        <v>10000</v>
      </c>
      <c r="K71" s="10"/>
    </row>
    <row r="72" spans="1:11" x14ac:dyDescent="0.3">
      <c r="B72" s="40" t="s">
        <v>11</v>
      </c>
      <c r="C72" s="48">
        <f t="shared" si="10"/>
        <v>12000</v>
      </c>
      <c r="D72" s="10"/>
      <c r="E72" s="10"/>
      <c r="F72" s="10"/>
      <c r="G72" s="10"/>
      <c r="H72" s="52">
        <f t="shared" si="11"/>
        <v>12000</v>
      </c>
      <c r="I72" s="10" t="s">
        <v>52</v>
      </c>
      <c r="J72" s="55">
        <v>12000</v>
      </c>
      <c r="K72" s="10"/>
    </row>
    <row r="73" spans="1:11" x14ac:dyDescent="0.3">
      <c r="B73" s="40" t="s">
        <v>12</v>
      </c>
      <c r="C73" s="48">
        <f t="shared" si="10"/>
        <v>12000</v>
      </c>
      <c r="D73" s="10"/>
      <c r="E73" s="10"/>
      <c r="F73" s="10"/>
      <c r="G73" s="10"/>
      <c r="H73" s="52">
        <f t="shared" si="11"/>
        <v>12000</v>
      </c>
      <c r="I73" s="10" t="s">
        <v>52</v>
      </c>
      <c r="J73" s="55">
        <v>12000</v>
      </c>
      <c r="K73" s="10"/>
    </row>
    <row r="74" spans="1:11" x14ac:dyDescent="0.3">
      <c r="B74" s="40" t="s">
        <v>13</v>
      </c>
      <c r="C74" s="48">
        <f t="shared" si="10"/>
        <v>800</v>
      </c>
      <c r="D74" s="10"/>
      <c r="E74" s="10"/>
      <c r="F74" s="10"/>
      <c r="G74" s="10"/>
      <c r="H74" s="52">
        <f t="shared" si="11"/>
        <v>800</v>
      </c>
      <c r="I74" s="10" t="s">
        <v>52</v>
      </c>
      <c r="J74" s="56">
        <v>800</v>
      </c>
      <c r="K74" s="10"/>
    </row>
    <row r="75" spans="1:11" x14ac:dyDescent="0.3">
      <c r="B75" s="41" t="s">
        <v>14</v>
      </c>
      <c r="C75" s="49">
        <f t="shared" si="10"/>
        <v>500</v>
      </c>
      <c r="D75" s="10"/>
      <c r="E75" s="10"/>
      <c r="F75" s="10"/>
      <c r="G75" s="10"/>
      <c r="H75" s="53">
        <f t="shared" si="11"/>
        <v>500</v>
      </c>
      <c r="I75" s="10" t="s">
        <v>52</v>
      </c>
      <c r="J75" s="59">
        <v>500</v>
      </c>
      <c r="K75" s="10"/>
    </row>
    <row r="76" spans="1:11" x14ac:dyDescent="0.3">
      <c r="C76" s="10"/>
      <c r="D76" s="10"/>
      <c r="E76" s="10"/>
      <c r="F76" s="10"/>
      <c r="G76" s="10"/>
      <c r="H76" s="10"/>
      <c r="I76" s="10"/>
      <c r="K76" s="10"/>
    </row>
    <row r="77" spans="1:11" x14ac:dyDescent="0.3">
      <c r="A77" s="64" t="s">
        <v>57</v>
      </c>
      <c r="B77" s="62" t="s">
        <v>5</v>
      </c>
      <c r="C77" s="10"/>
      <c r="D77" s="47">
        <f t="shared" ref="D77:D86" si="12">D5</f>
        <v>2000</v>
      </c>
      <c r="E77" s="10"/>
      <c r="F77" s="10"/>
      <c r="G77" s="10"/>
      <c r="H77" s="51">
        <f>D77</f>
        <v>2000</v>
      </c>
      <c r="I77" s="10" t="s">
        <v>52</v>
      </c>
      <c r="J77" s="58">
        <v>2000</v>
      </c>
      <c r="K77" s="10"/>
    </row>
    <row r="78" spans="1:11" x14ac:dyDescent="0.3">
      <c r="B78" s="17" t="s">
        <v>6</v>
      </c>
      <c r="C78" s="10"/>
      <c r="D78" s="48">
        <f t="shared" si="12"/>
        <v>5000</v>
      </c>
      <c r="E78" s="10"/>
      <c r="F78" s="10"/>
      <c r="G78" s="10"/>
      <c r="H78" s="52">
        <f t="shared" ref="H78:H86" si="13">D78</f>
        <v>5000</v>
      </c>
      <c r="I78" s="10" t="s">
        <v>52</v>
      </c>
      <c r="J78" s="55">
        <v>5000</v>
      </c>
      <c r="K78" s="10"/>
    </row>
    <row r="79" spans="1:11" x14ac:dyDescent="0.3">
      <c r="B79" s="17" t="s">
        <v>7</v>
      </c>
      <c r="C79" s="10"/>
      <c r="D79" s="48">
        <f t="shared" si="12"/>
        <v>12000</v>
      </c>
      <c r="E79" s="10"/>
      <c r="F79" s="10"/>
      <c r="G79" s="10"/>
      <c r="H79" s="52">
        <f t="shared" si="13"/>
        <v>12000</v>
      </c>
      <c r="I79" s="10" t="s">
        <v>52</v>
      </c>
      <c r="J79" s="55">
        <v>12000</v>
      </c>
      <c r="K79" s="10"/>
    </row>
    <row r="80" spans="1:11" x14ac:dyDescent="0.3">
      <c r="B80" s="17" t="s">
        <v>8</v>
      </c>
      <c r="C80" s="10"/>
      <c r="D80" s="48">
        <f t="shared" si="12"/>
        <v>15000</v>
      </c>
      <c r="E80" s="10"/>
      <c r="F80" s="10"/>
      <c r="G80" s="10"/>
      <c r="H80" s="52">
        <f t="shared" si="13"/>
        <v>15000</v>
      </c>
      <c r="I80" s="10" t="s">
        <v>52</v>
      </c>
      <c r="J80" s="55">
        <v>15000</v>
      </c>
      <c r="K80" s="10"/>
    </row>
    <row r="81" spans="1:11" x14ac:dyDescent="0.3">
      <c r="B81" s="17" t="s">
        <v>9</v>
      </c>
      <c r="C81" s="10"/>
      <c r="D81" s="48">
        <f t="shared" si="12"/>
        <v>8000</v>
      </c>
      <c r="E81" s="10"/>
      <c r="F81" s="10"/>
      <c r="G81" s="10"/>
      <c r="H81" s="52">
        <f t="shared" si="13"/>
        <v>8000</v>
      </c>
      <c r="I81" s="10" t="s">
        <v>52</v>
      </c>
      <c r="J81" s="55">
        <v>8000</v>
      </c>
      <c r="K81" s="10"/>
    </row>
    <row r="82" spans="1:11" x14ac:dyDescent="0.3">
      <c r="B82" s="17" t="s">
        <v>10</v>
      </c>
      <c r="C82" s="10"/>
      <c r="D82" s="48">
        <f t="shared" si="12"/>
        <v>3000</v>
      </c>
      <c r="E82" s="10"/>
      <c r="F82" s="10"/>
      <c r="G82" s="10"/>
      <c r="H82" s="52">
        <f t="shared" si="13"/>
        <v>3000</v>
      </c>
      <c r="I82" s="10" t="s">
        <v>52</v>
      </c>
      <c r="J82" s="55">
        <v>3000</v>
      </c>
      <c r="K82" s="10"/>
    </row>
    <row r="83" spans="1:11" x14ac:dyDescent="0.3">
      <c r="B83" s="17" t="s">
        <v>11</v>
      </c>
      <c r="C83" s="10"/>
      <c r="D83" s="48">
        <f t="shared" si="12"/>
        <v>6000</v>
      </c>
      <c r="E83" s="10"/>
      <c r="F83" s="10"/>
      <c r="G83" s="10"/>
      <c r="H83" s="52">
        <f t="shared" si="13"/>
        <v>6000</v>
      </c>
      <c r="I83" s="10" t="s">
        <v>52</v>
      </c>
      <c r="J83" s="55">
        <v>6000</v>
      </c>
      <c r="K83" s="10"/>
    </row>
    <row r="84" spans="1:11" x14ac:dyDescent="0.3">
      <c r="B84" s="17" t="s">
        <v>12</v>
      </c>
      <c r="C84" s="10"/>
      <c r="D84" s="48">
        <f t="shared" si="12"/>
        <v>8000</v>
      </c>
      <c r="E84" s="10"/>
      <c r="F84" s="10"/>
      <c r="G84" s="10"/>
      <c r="H84" s="52">
        <f t="shared" si="13"/>
        <v>8000</v>
      </c>
      <c r="I84" s="10" t="s">
        <v>52</v>
      </c>
      <c r="J84" s="55">
        <v>8000</v>
      </c>
      <c r="K84" s="10"/>
    </row>
    <row r="85" spans="1:11" x14ac:dyDescent="0.3">
      <c r="B85" s="17" t="s">
        <v>13</v>
      </c>
      <c r="C85" s="10"/>
      <c r="D85" s="48">
        <f t="shared" si="12"/>
        <v>400</v>
      </c>
      <c r="E85" s="10"/>
      <c r="F85" s="10"/>
      <c r="G85" s="10"/>
      <c r="H85" s="52">
        <f t="shared" si="13"/>
        <v>400</v>
      </c>
      <c r="I85" s="10" t="s">
        <v>52</v>
      </c>
      <c r="J85" s="56">
        <v>400</v>
      </c>
      <c r="K85" s="10"/>
    </row>
    <row r="86" spans="1:11" x14ac:dyDescent="0.3">
      <c r="B86" s="18" t="s">
        <v>14</v>
      </c>
      <c r="C86" s="10"/>
      <c r="D86" s="49">
        <f t="shared" si="12"/>
        <v>200</v>
      </c>
      <c r="E86" s="10"/>
      <c r="F86" s="10"/>
      <c r="G86" s="10"/>
      <c r="H86" s="53">
        <f t="shared" si="13"/>
        <v>200</v>
      </c>
      <c r="I86" s="10" t="s">
        <v>52</v>
      </c>
      <c r="J86" s="59">
        <v>200</v>
      </c>
      <c r="K86" s="10"/>
    </row>
    <row r="87" spans="1:11" x14ac:dyDescent="0.3">
      <c r="C87" s="10"/>
      <c r="D87" s="10"/>
      <c r="E87" s="10"/>
      <c r="F87" s="10"/>
      <c r="G87" s="10"/>
      <c r="H87" s="10"/>
      <c r="I87" s="10"/>
      <c r="K87" s="10"/>
    </row>
    <row r="88" spans="1:11" x14ac:dyDescent="0.3">
      <c r="A88" s="64" t="s">
        <v>58</v>
      </c>
      <c r="B88" s="62" t="s">
        <v>5</v>
      </c>
      <c r="C88" s="10"/>
      <c r="D88" s="10"/>
      <c r="E88" s="47">
        <f t="shared" ref="E88:E97" si="14">E5</f>
        <v>500</v>
      </c>
      <c r="F88" s="10"/>
      <c r="G88" s="10"/>
      <c r="H88" s="51">
        <f>E88</f>
        <v>500</v>
      </c>
      <c r="I88" s="10" t="s">
        <v>52</v>
      </c>
      <c r="J88" s="54">
        <v>500</v>
      </c>
      <c r="K88" s="10"/>
    </row>
    <row r="89" spans="1:11" x14ac:dyDescent="0.3">
      <c r="B89" s="17" t="s">
        <v>6</v>
      </c>
      <c r="C89" s="10"/>
      <c r="D89" s="10"/>
      <c r="E89" s="48">
        <f t="shared" si="14"/>
        <v>1000</v>
      </c>
      <c r="F89" s="10"/>
      <c r="G89" s="10"/>
      <c r="H89" s="52">
        <f t="shared" ref="H89:H97" si="15">E89</f>
        <v>1000</v>
      </c>
      <c r="I89" s="10" t="s">
        <v>52</v>
      </c>
      <c r="J89" s="55">
        <v>1000</v>
      </c>
      <c r="K89" s="10"/>
    </row>
    <row r="90" spans="1:11" x14ac:dyDescent="0.3">
      <c r="B90" s="17" t="s">
        <v>7</v>
      </c>
      <c r="C90" s="10"/>
      <c r="D90" s="10"/>
      <c r="E90" s="48">
        <f t="shared" si="14"/>
        <v>500</v>
      </c>
      <c r="F90" s="10"/>
      <c r="G90" s="10"/>
      <c r="H90" s="52">
        <f t="shared" si="15"/>
        <v>500</v>
      </c>
      <c r="I90" s="10" t="s">
        <v>52</v>
      </c>
      <c r="J90" s="56">
        <v>500</v>
      </c>
      <c r="K90" s="10"/>
    </row>
    <row r="91" spans="1:11" x14ac:dyDescent="0.3">
      <c r="B91" s="17" t="s">
        <v>8</v>
      </c>
      <c r="C91" s="10"/>
      <c r="D91" s="10"/>
      <c r="E91" s="48">
        <f t="shared" si="14"/>
        <v>200</v>
      </c>
      <c r="F91" s="10"/>
      <c r="G91" s="10"/>
      <c r="H91" s="52">
        <f t="shared" si="15"/>
        <v>200</v>
      </c>
      <c r="I91" s="10" t="s">
        <v>52</v>
      </c>
      <c r="J91" s="56">
        <v>200</v>
      </c>
      <c r="K91" s="10"/>
    </row>
    <row r="92" spans="1:11" x14ac:dyDescent="0.3">
      <c r="B92" s="17" t="s">
        <v>9</v>
      </c>
      <c r="C92" s="10"/>
      <c r="D92" s="10"/>
      <c r="E92" s="48">
        <f t="shared" si="14"/>
        <v>200</v>
      </c>
      <c r="F92" s="10"/>
      <c r="G92" s="10"/>
      <c r="H92" s="52">
        <f t="shared" si="15"/>
        <v>200</v>
      </c>
      <c r="I92" s="10" t="s">
        <v>52</v>
      </c>
      <c r="J92" s="56">
        <v>200</v>
      </c>
      <c r="K92" s="10"/>
    </row>
    <row r="93" spans="1:11" x14ac:dyDescent="0.3">
      <c r="B93" s="17" t="s">
        <v>10</v>
      </c>
      <c r="C93" s="10"/>
      <c r="D93" s="10"/>
      <c r="E93" s="48">
        <f t="shared" si="14"/>
        <v>500</v>
      </c>
      <c r="F93" s="10"/>
      <c r="G93" s="10"/>
      <c r="H93" s="52">
        <f t="shared" si="15"/>
        <v>500</v>
      </c>
      <c r="I93" s="10" t="s">
        <v>52</v>
      </c>
      <c r="J93" s="56">
        <v>500</v>
      </c>
      <c r="K93" s="10"/>
    </row>
    <row r="94" spans="1:11" x14ac:dyDescent="0.3">
      <c r="B94" s="17" t="s">
        <v>11</v>
      </c>
      <c r="C94" s="10"/>
      <c r="D94" s="10"/>
      <c r="E94" s="48">
        <f t="shared" si="14"/>
        <v>2000</v>
      </c>
      <c r="F94" s="10"/>
      <c r="G94" s="10"/>
      <c r="H94" s="52">
        <f t="shared" si="15"/>
        <v>2000</v>
      </c>
      <c r="I94" s="10" t="s">
        <v>52</v>
      </c>
      <c r="J94" s="55">
        <v>2000</v>
      </c>
      <c r="K94" s="10"/>
    </row>
    <row r="95" spans="1:11" x14ac:dyDescent="0.3">
      <c r="B95" s="17" t="s">
        <v>12</v>
      </c>
      <c r="C95" s="10"/>
      <c r="D95" s="10"/>
      <c r="E95" s="48">
        <f t="shared" si="14"/>
        <v>500</v>
      </c>
      <c r="F95" s="10"/>
      <c r="G95" s="10"/>
      <c r="H95" s="52">
        <f t="shared" si="15"/>
        <v>500</v>
      </c>
      <c r="I95" s="10" t="s">
        <v>52</v>
      </c>
      <c r="J95" s="56">
        <v>500</v>
      </c>
      <c r="K95" s="10"/>
    </row>
    <row r="96" spans="1:11" x14ac:dyDescent="0.3">
      <c r="B96" s="17" t="s">
        <v>13</v>
      </c>
      <c r="C96" s="10"/>
      <c r="D96" s="10"/>
      <c r="E96" s="48">
        <f t="shared" si="14"/>
        <v>4000</v>
      </c>
      <c r="F96" s="10"/>
      <c r="G96" s="10"/>
      <c r="H96" s="52">
        <f t="shared" si="15"/>
        <v>4000</v>
      </c>
      <c r="I96" s="10" t="s">
        <v>52</v>
      </c>
      <c r="J96" s="55">
        <v>4000</v>
      </c>
      <c r="K96" s="10"/>
    </row>
    <row r="97" spans="2:11" x14ac:dyDescent="0.3">
      <c r="B97" s="18" t="s">
        <v>14</v>
      </c>
      <c r="C97" s="10"/>
      <c r="D97" s="10"/>
      <c r="E97" s="49">
        <f t="shared" si="14"/>
        <v>1500</v>
      </c>
      <c r="F97" s="10"/>
      <c r="G97" s="10"/>
      <c r="H97" s="53">
        <f t="shared" si="15"/>
        <v>1500</v>
      </c>
      <c r="I97" s="10" t="s">
        <v>52</v>
      </c>
      <c r="J97" s="57">
        <v>1500</v>
      </c>
      <c r="K97" s="10"/>
    </row>
    <row r="98" spans="2:11" x14ac:dyDescent="0.3">
      <c r="C98" s="10"/>
      <c r="D98" s="10"/>
      <c r="E98" s="10"/>
      <c r="F98" s="10"/>
      <c r="G98" s="10"/>
      <c r="H98" s="10"/>
      <c r="I98" s="10"/>
      <c r="K98" s="10"/>
    </row>
    <row r="99" spans="2:11" x14ac:dyDescent="0.3">
      <c r="H99" s="10"/>
      <c r="I99" s="10"/>
      <c r="K99" s="10"/>
    </row>
    <row r="100" spans="2:11" x14ac:dyDescent="0.3">
      <c r="C100" s="10"/>
      <c r="D100" s="10"/>
      <c r="E100" s="10"/>
      <c r="F100" s="10"/>
      <c r="G100" s="10"/>
      <c r="H100" s="10"/>
      <c r="I100" s="10"/>
      <c r="K100" s="10"/>
    </row>
    <row r="101" spans="2:11" x14ac:dyDescent="0.3">
      <c r="C101" s="10"/>
      <c r="D101" s="10"/>
      <c r="E101" s="10"/>
      <c r="F101" s="10"/>
      <c r="G101" s="10"/>
      <c r="H101" s="10"/>
      <c r="I101" s="10"/>
      <c r="K101" s="10"/>
    </row>
    <row r="102" spans="2:11" x14ac:dyDescent="0.3">
      <c r="C102" s="10"/>
      <c r="D102" s="10"/>
      <c r="E102" s="10"/>
      <c r="F102" s="10"/>
      <c r="G102" s="10"/>
      <c r="H102" s="10"/>
      <c r="I102" s="10"/>
      <c r="K102" s="10"/>
    </row>
    <row r="103" spans="2:11" x14ac:dyDescent="0.3">
      <c r="C103" s="10"/>
      <c r="D103" s="10"/>
      <c r="E103" s="10"/>
      <c r="F103" s="10"/>
      <c r="G103" s="10"/>
      <c r="H103" s="10"/>
      <c r="I103" s="10"/>
      <c r="K103" s="10"/>
    </row>
    <row r="104" spans="2:11" x14ac:dyDescent="0.3">
      <c r="C104" s="10"/>
      <c r="D104" s="10"/>
      <c r="E104" s="10"/>
      <c r="F104" s="10"/>
      <c r="G104" s="10"/>
      <c r="H104" s="10"/>
      <c r="I104" s="10"/>
      <c r="K104" s="10"/>
    </row>
    <row r="105" spans="2:11" x14ac:dyDescent="0.3">
      <c r="C105" s="10"/>
      <c r="D105" s="10"/>
      <c r="E105" s="10"/>
      <c r="F105" s="10"/>
      <c r="G105" s="10"/>
      <c r="H105" s="10"/>
      <c r="I105" s="10"/>
      <c r="K105" s="10"/>
    </row>
    <row r="106" spans="2:11" x14ac:dyDescent="0.3">
      <c r="C106" s="10"/>
      <c r="D106" s="10"/>
      <c r="E106" s="10"/>
      <c r="F106" s="10"/>
      <c r="G106" s="10"/>
      <c r="H106" s="10"/>
      <c r="I106" s="10"/>
      <c r="K106" s="10"/>
    </row>
    <row r="107" spans="2:11" x14ac:dyDescent="0.3">
      <c r="C107" s="10"/>
      <c r="D107" s="10"/>
      <c r="E107" s="10"/>
      <c r="F107" s="10"/>
      <c r="G107" s="10"/>
      <c r="H107" s="10"/>
      <c r="I107" s="10"/>
      <c r="K107" s="10"/>
    </row>
    <row r="108" spans="2:11" x14ac:dyDescent="0.3">
      <c r="C108" s="10"/>
      <c r="D108" s="10"/>
      <c r="E108" s="10"/>
      <c r="F108" s="10"/>
      <c r="G108" s="10"/>
      <c r="H108" s="10"/>
      <c r="I108" s="10"/>
      <c r="K108" s="10"/>
    </row>
    <row r="109" spans="2:11" x14ac:dyDescent="0.3">
      <c r="C109" s="10"/>
      <c r="D109" s="10"/>
      <c r="E109" s="10"/>
      <c r="F109" s="10"/>
      <c r="G109" s="10"/>
      <c r="H109" s="10"/>
      <c r="I109" s="10"/>
      <c r="K109" s="10"/>
    </row>
    <row r="110" spans="2:11" x14ac:dyDescent="0.3">
      <c r="C110" s="10"/>
      <c r="D110" s="10"/>
      <c r="E110" s="10"/>
      <c r="F110" s="10"/>
      <c r="G110" s="10"/>
      <c r="H110" s="10"/>
      <c r="I110" s="10"/>
      <c r="K110" s="10"/>
    </row>
    <row r="111" spans="2:11" x14ac:dyDescent="0.3">
      <c r="C111" s="10"/>
      <c r="D111" s="10"/>
      <c r="E111" s="10"/>
      <c r="F111" s="10"/>
      <c r="G111" s="10"/>
      <c r="H111" s="10"/>
      <c r="I111" s="10"/>
      <c r="K111" s="10"/>
    </row>
    <row r="112" spans="2:11" x14ac:dyDescent="0.3">
      <c r="C112" s="10"/>
      <c r="D112" s="10"/>
      <c r="E112" s="10"/>
      <c r="F112" s="10"/>
      <c r="G112" s="10"/>
      <c r="H112" s="10"/>
      <c r="I112" s="10"/>
      <c r="K112" s="10"/>
    </row>
    <row r="113" spans="3:11" x14ac:dyDescent="0.3">
      <c r="C113" s="10"/>
      <c r="D113" s="10"/>
      <c r="E113" s="10"/>
      <c r="F113" s="10"/>
      <c r="G113" s="10"/>
      <c r="H113" s="10"/>
      <c r="I113" s="10"/>
      <c r="K113" s="10"/>
    </row>
    <row r="114" spans="3:11" x14ac:dyDescent="0.3">
      <c r="C114" s="10"/>
      <c r="D114" s="10"/>
      <c r="E114" s="10"/>
      <c r="F114" s="10"/>
      <c r="G114" s="10"/>
      <c r="H114" s="10"/>
      <c r="I114" s="10"/>
      <c r="K114" s="10"/>
    </row>
    <row r="115" spans="3:11" x14ac:dyDescent="0.3">
      <c r="C115" s="10"/>
      <c r="D115" s="10"/>
      <c r="E115" s="10"/>
      <c r="F115" s="10"/>
      <c r="G115" s="10"/>
      <c r="H115" s="10"/>
      <c r="I115" s="10"/>
      <c r="K115" s="10"/>
    </row>
    <row r="116" spans="3:11" x14ac:dyDescent="0.3">
      <c r="C116" s="10"/>
      <c r="D116" s="10"/>
      <c r="E116" s="10"/>
      <c r="F116" s="10"/>
      <c r="G116" s="10"/>
      <c r="H116" s="10"/>
      <c r="I116" s="10"/>
      <c r="K116" s="10"/>
    </row>
    <row r="117" spans="3:11" x14ac:dyDescent="0.3">
      <c r="C117" s="10"/>
      <c r="D117" s="10"/>
      <c r="E117" s="10"/>
      <c r="F117" s="10"/>
      <c r="G117" s="10"/>
      <c r="H117" s="10"/>
      <c r="I117" s="10"/>
      <c r="K117" s="10"/>
    </row>
    <row r="118" spans="3:11" x14ac:dyDescent="0.3">
      <c r="C118" s="10"/>
      <c r="D118" s="10"/>
      <c r="E118" s="10"/>
      <c r="F118" s="10"/>
      <c r="G118" s="10"/>
      <c r="H118" s="10"/>
      <c r="I118" s="10"/>
      <c r="K118" s="10"/>
    </row>
    <row r="119" spans="3:11" x14ac:dyDescent="0.3">
      <c r="C119" s="10"/>
      <c r="D119" s="10"/>
      <c r="E119" s="10"/>
      <c r="F119" s="10"/>
      <c r="G119" s="10"/>
      <c r="H119" s="10"/>
      <c r="I119" s="10"/>
      <c r="K119" s="10"/>
    </row>
    <row r="120" spans="3:11" x14ac:dyDescent="0.3">
      <c r="C120" s="10"/>
      <c r="D120" s="10"/>
      <c r="E120" s="10"/>
      <c r="F120" s="10"/>
      <c r="G120" s="10"/>
      <c r="H120" s="10"/>
      <c r="I120" s="10"/>
      <c r="K120" s="10"/>
    </row>
    <row r="121" spans="3:11" x14ac:dyDescent="0.3">
      <c r="C121" s="10"/>
      <c r="D121" s="10"/>
      <c r="E121" s="10"/>
      <c r="F121" s="10"/>
      <c r="G121" s="10"/>
      <c r="H121" s="10"/>
      <c r="I121" s="10"/>
      <c r="K121" s="10"/>
    </row>
    <row r="122" spans="3:11" x14ac:dyDescent="0.3">
      <c r="C122" s="10"/>
      <c r="D122" s="10"/>
      <c r="E122" s="10"/>
      <c r="F122" s="10"/>
      <c r="G122" s="10"/>
      <c r="H122" s="10"/>
      <c r="I122" s="10"/>
      <c r="K122" s="10"/>
    </row>
    <row r="123" spans="3:11" x14ac:dyDescent="0.3">
      <c r="C123" s="10"/>
      <c r="D123" s="10"/>
      <c r="E123" s="10"/>
      <c r="F123" s="10"/>
      <c r="G123" s="10"/>
      <c r="H123" s="10"/>
      <c r="I123" s="10"/>
      <c r="K123" s="10"/>
    </row>
    <row r="124" spans="3:11" x14ac:dyDescent="0.3">
      <c r="C124" s="10"/>
      <c r="D124" s="10"/>
      <c r="E124" s="10"/>
      <c r="F124" s="10"/>
      <c r="G124" s="10"/>
      <c r="H124" s="10"/>
      <c r="I124" s="10"/>
      <c r="K124" s="10"/>
    </row>
    <row r="125" spans="3:11" x14ac:dyDescent="0.3">
      <c r="C125" s="10"/>
      <c r="D125" s="10"/>
      <c r="E125" s="10"/>
      <c r="F125" s="10"/>
      <c r="G125" s="10"/>
      <c r="H125" s="10"/>
      <c r="I125" s="10"/>
      <c r="K125" s="10"/>
    </row>
  </sheetData>
  <mergeCells count="1">
    <mergeCell ref="A1:B1"/>
  </mergeCells>
  <pageMargins left="0.25" right="0.25" top="0.75" bottom="0.75" header="0.3" footer="0.3"/>
  <pageSetup paperSize="6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LPP Modelling</vt:lpstr>
      <vt:lpstr>Sensitivity Report 1</vt:lpstr>
      <vt:lpstr>-1st constraint</vt:lpstr>
      <vt:lpstr>-2nd constraint</vt:lpstr>
      <vt:lpstr>-3rd constraint</vt:lpstr>
      <vt:lpstr>-4th constraint</vt:lpstr>
      <vt:lpstr>-5th to 7th constraint</vt:lpstr>
      <vt:lpstr>-8th to 9th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Shrivastava</dc:creator>
  <cp:lastModifiedBy>Devanshu Shrivastava</cp:lastModifiedBy>
  <cp:lastPrinted>2026-04-30T16:02:41Z</cp:lastPrinted>
  <dcterms:created xsi:type="dcterms:W3CDTF">2015-06-05T18:17:20Z</dcterms:created>
  <dcterms:modified xsi:type="dcterms:W3CDTF">2026-05-02T20:44:42Z</dcterms:modified>
</cp:coreProperties>
</file>